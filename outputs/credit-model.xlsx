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b176ed37c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a5d826158a4ebc"/>
    <x:sheet xmlns:r="http://schemas.openxmlformats.org/officeDocument/2006/relationships" name="Assumptions" sheetId="2" r:id="Ra5b66e7221c54680"/>
    <x:sheet xmlns:r="http://schemas.openxmlformats.org/officeDocument/2006/relationships" name="Financials" sheetId="3" r:id="R9752cf6242c54cf3"/>
    <x:sheet xmlns:r="http://schemas.openxmlformats.org/officeDocument/2006/relationships" name="Liquidity" sheetId="4" r:id="R79b2fb6d16c045f7"/>
    <x:sheet xmlns:r="http://schemas.openxmlformats.org/officeDocument/2006/relationships" name="Rating" sheetId="5" r:id="R4864357531ec47cf"/>
    <x:sheet xmlns:r="http://schemas.openxmlformats.org/officeDocument/2006/relationships" name="Collateral" sheetId="6" r:id="R729fc98bba99476d"/>
    <x:sheet xmlns:r="http://schemas.openxmlformats.org/officeDocument/2006/relationships" name="Portfolio" sheetId="7" r:id="R4976bce860844a63"/>
    <x:sheet xmlns:r="http://schemas.openxmlformats.org/officeDocument/2006/relationships" name="Scenarios" sheetId="8" r:id="Rd351b3d463ce4c6e"/>
    <x:sheet xmlns:r="http://schemas.openxmlformats.org/officeDocument/2006/relationships" name="Sensitivity" sheetId="9" r:id="R3eeed1e1ab0d4cc9"/>
    <x:sheet xmlns:r="http://schemas.openxmlformats.org/officeDocument/2006/relationships" name="Conditions" sheetId="10" r:id="R74b89286679b49bc"/>
    <x:sheet xmlns:r="http://schemas.openxmlformats.org/officeDocument/2006/relationships" name="Control Matrix" sheetId="11" r:id="R2e2179590507499c"/>
    <x:sheet xmlns:r="http://schemas.openxmlformats.org/officeDocument/2006/relationships" name="Model Risks" sheetId="12" r:id="R940925dc9065445e"/>
    <x:sheet xmlns:r="http://schemas.openxmlformats.org/officeDocument/2006/relationships" name="Covenants" sheetId="13" r:id="Rf2593ef328d54e65"/>
    <x:sheet xmlns:r="http://schemas.openxmlformats.org/officeDocument/2006/relationships" name="Monitoring" sheetId="14" r:id="Ra2bf5f1dd14d448c"/>
    <x:sheet xmlns:r="http://schemas.openxmlformats.org/officeDocument/2006/relationships" name="Escalations" sheetId="15" r:id="R4276c85163f34fd0"/>
    <x:sheet xmlns:r="http://schemas.openxmlformats.org/officeDocument/2006/relationships" name="Sources" sheetId="16" r:id="R0575116b6ca04f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$#,##0;[Red]($#,##0);-"/>
    <x:numFmt numFmtId="201" formatCode="0"/>
    <x:numFmt numFmtId="202" formatCode="#,##0.00;[Red](#,##0.00);-"/>
    <x:numFmt numFmtId="203" formatCode="0.0%;[Red](0.0%);-"/>
    <x:numFmt numFmtId="204" formatCode="#,##0"/>
    <x:numFmt numFmtId="205" formatCode="yyyy-mm-dd"/>
    <x:numFmt numFmtId="206" formatCode="0%"/>
    <x:numFmt numFmtId="207" formatCode="0.00"/>
    <x:numFmt numFmtId="208" formatCode="0.000x"/>
    <x:numFmt numFmtId="209" formatCode="#,##0,,&quot;m&quot;"/>
    <x:numFmt numFmtId="210" formatCode="$0.0,,&quot;M&quot;;[Red]($0.0,,&quot;M&quot;);-"/>
  </x:numFmts>
  <x:fonts count="9">
    <x:font>
      <x:sz val="11"/>
      <x:name val="Carlito"/>
    </x:font>
    <x:font>
      <x:sz val="10"/>
      <x:color rgb="FF1F1F1F"/>
      <x:name val="Arial"/>
    </x:font>
    <x:font>
      <x:b/>
      <x:sz val="16"/>
      <x:color rgb="FF16324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6324F"/>
      <x:name val="Arial"/>
    </x:font>
    <x:font>
      <x:sz val="10"/>
      <x:color rgb="FF008000"/>
      <x:name val="Arial"/>
    </x:font>
    <x:font>
      <x:b/>
      <x:sz val="10"/>
      <x:color rgb="FFC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</x:fills>
  <x:borders count="8">
    <x:border/>
    <x:border>
      <x:bottom style="thin">
        <x:color rgb="FF16324F"/>
      </x:bottom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5" xfId="0" applyNumberFormat="1" applyFont="1" applyFill="1" applyBorder="1" applyAlignment="1">
      <x:alignment horizontal="center" vertical="center"/>
    </x:xf>
    <x:xf numFmtId="0" fontId="4" fillId="2" borderId="6" xfId="0" applyNumberFormat="1" applyFont="1" applyFill="1" applyBorder="1" applyAlignment="1">
      <x:alignment horizontal="center" vertical="center"/>
    </x:xf>
    <x:xf numFmtId="0" fontId="4" fillId="2" borderId="7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206" fontId="5" fillId="3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6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7" xfId="0" applyNumberFormat="1" applyFont="1" applyFill="1" applyBorder="1" applyAlignment="1">
      <x:alignment horizontal="center"/>
    </x:xf>
    <x:xf numFmtId="203" fontId="4" fillId="2" borderId="6" xfId="0" applyNumberFormat="1" applyFont="1" applyFill="1" applyBorder="1" applyAlignment="1">
      <x:alignment horizontal="center" vertical="center"/>
    </x:xf>
    <x:xf numFmtId="203" fontId="4" fillId="2" borderId="7" xfId="0" applyNumberFormat="1" applyFont="1" applyFill="1" applyBorder="1" applyAlignment="1">
      <x:alignment horizontal="center" vertical="center"/>
    </x:xf>
    <x:xf numFmtId="209" fontId="1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0" fontId="4" fillId="2" borderId="7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208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8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8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5" fillId="3" borderId="0" xfId="0" applyNumberFormat="1" applyFont="1" applyFill="1" applyBorder="1" applyAlignment="1">
      <x:alignment vertical="center" wrapText="1"/>
    </x:xf>
    <x:xf numFmtId="202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9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a0cb352714e72" /><Relationship Type="http://schemas.openxmlformats.org/officeDocument/2006/relationships/theme" Target="/xl/theme/theme1.xml" Id="R2ede082c779848d8" /><Relationship Type="http://schemas.openxmlformats.org/officeDocument/2006/relationships/sharedStrings" Target="/xl/sharedStrings.xml" Id="Rc9ef027db8964646" /><Relationship Type="http://schemas.openxmlformats.org/officeDocument/2006/relationships/worksheet" Target="/xl/worksheets/sheet1.xml" Id="R08a5d826158a4ebc" /><Relationship Type="http://schemas.openxmlformats.org/officeDocument/2006/relationships/worksheet" Target="/xl/worksheets/sheet2.xml" Id="Ra5b66e7221c54680" /><Relationship Type="http://schemas.openxmlformats.org/officeDocument/2006/relationships/worksheet" Target="/xl/worksheets/sheet3.xml" Id="R9752cf6242c54cf3" /><Relationship Type="http://schemas.openxmlformats.org/officeDocument/2006/relationships/worksheet" Target="/xl/worksheets/sheet4.xml" Id="R79b2fb6d16c045f7" /><Relationship Type="http://schemas.openxmlformats.org/officeDocument/2006/relationships/worksheet" Target="/xl/worksheets/sheet5.xml" Id="R4864357531ec47cf" /><Relationship Type="http://schemas.openxmlformats.org/officeDocument/2006/relationships/worksheet" Target="/xl/worksheets/sheet6.xml" Id="R729fc98bba99476d" /><Relationship Type="http://schemas.openxmlformats.org/officeDocument/2006/relationships/worksheet" Target="/xl/worksheets/sheet7.xml" Id="R4976bce860844a63" /><Relationship Type="http://schemas.openxmlformats.org/officeDocument/2006/relationships/worksheet" Target="/xl/worksheets/sheet8.xml" Id="Rd351b3d463ce4c6e" /><Relationship Type="http://schemas.openxmlformats.org/officeDocument/2006/relationships/worksheet" Target="/xl/worksheets/sheet9.xml" Id="R3eeed1e1ab0d4cc9" /><Relationship Type="http://schemas.openxmlformats.org/officeDocument/2006/relationships/worksheet" Target="/xl/worksheets/sheet10.xml" Id="R74b89286679b49bc" /><Relationship Type="http://schemas.openxmlformats.org/officeDocument/2006/relationships/worksheet" Target="/xl/worksheets/sheet11.xml" Id="R2e2179590507499c" /><Relationship Type="http://schemas.openxmlformats.org/officeDocument/2006/relationships/worksheet" Target="/xl/worksheets/sheet12.xml" Id="R940925dc9065445e" /><Relationship Type="http://schemas.openxmlformats.org/officeDocument/2006/relationships/worksheet" Target="/xl/worksheets/sheet13.xml" Id="Rf2593ef328d54e65" /><Relationship Type="http://schemas.openxmlformats.org/officeDocument/2006/relationships/worksheet" Target="/xl/worksheets/sheet14.xml" Id="Ra2bf5f1dd14d448c" /><Relationship Type="http://schemas.openxmlformats.org/officeDocument/2006/relationships/worksheet" Target="/xl/worksheets/sheet15.xml" Id="R4276c85163f34fd0" /><Relationship Type="http://schemas.openxmlformats.org/officeDocument/2006/relationships/worksheet" Target="/xl/worksheets/sheet16.xml" Id="R0575116b6ca04f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a3458ecc754d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Four-cap comparison ($M)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'Summary'!$J$8:$J$11</c:f>
              <c:strCache>
                <c:ptCount val="0"/>
              </c:strCache>
            </c:strRef>
          </c:cat>
          <c:val>
            <c:numRef>
              <c:f>'Summary'!$K$8:$K$11</c:f>
              <c:numCache>
                <c:formatCode>$0.0,,"M";[Red]($0.0,,"M");-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12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a3458ecc754d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1cfe614d804d52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28" hidden="0" customWidth="1"/>
    <x:col min="5" max="5" width="16" hidden="0" customWidth="1"/>
    <x:col min="6" max="6" width="4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MARA hypothetical facility decision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Case MARA-CR-001 | $5 million request | public issuer facts + fictional case terms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8" t="str">
        <x:v>Committee decision</x:v>
      </x:c>
      <x:c r="D6" s="9" t="str"/>
      <x:c r="E6" s="9" t="str"/>
      <x:c r="F6" s="9" t="str"/>
      <x:c r="G6" s="9" t="str"/>
      <x:c r="H6" s="10" t="str"/>
      <x:c r="I6" s="2"/>
      <x:c r="J6" s="2"/>
      <x:c r="K6" s="2"/>
      <x:c r="L6" s="2"/>
      <x:c r="M6" s="2"/>
      <x:c r="N6" s="2"/>
    </x:row>
    <x:row r="7" ht="15" hidden="0" customHeight="1">
      <x:c r="A7" s="2"/>
      <x:c r="B7" s="2"/>
      <x:c r="C7" s="12" t="str">
        <x:v>Measure</x:v>
      </x:c>
      <x:c r="D7" s="13" t="str">
        <x:v>Result</x:v>
      </x:c>
      <x:c r="E7" s="13" t="str">
        <x:v>Unit</x:v>
      </x:c>
      <x:c r="F7" s="14" t="str">
        <x:v>Interpretation</x:v>
      </x:c>
      <x:c r="G7" s="2"/>
      <x:c r="H7" s="2"/>
      <x:c r="I7" s="2"/>
      <x:c r="J7" s="12" t="str">
        <x:v>Cap</x:v>
      </x:c>
      <x:c r="K7" s="14" t="str">
        <x:v>Amount</x:v>
      </x:c>
      <x:c r="L7" s="2"/>
      <x:c r="M7" s="2"/>
      <x:c r="N7" s="2"/>
    </x:row>
    <x:row r="8" ht="15" hidden="0" customHeight="1">
      <x:c r="A8" s="2"/>
      <x:c r="B8" s="2"/>
      <x:c r="C8" s="2" t="str">
        <x:v>Requested commitment</x:v>
      </x:c>
      <x:c r="D8" s="27" t="n">
        <x:f>'Assumptions'!D8</x:f>
        <x:v>5000000</x:v>
      </x:c>
      <x:c r="E8" s="2" t="str">
        <x:v>USD</x:v>
      </x:c>
      <x:c r="F8" s="2" t="str">
        <x:v>Hypothetical</x:v>
      </x:c>
      <x:c r="G8" s="2"/>
      <x:c r="H8" s="2"/>
      <x:c r="I8" s="2"/>
      <x:c r="J8" s="2" t="str">
        <x:v>Obligor</x:v>
      </x:c>
      <x:c r="K8" s="57" t="n">
        <x:f>D10</x:f>
        <x:v>7500000</x:v>
      </x:c>
      <x:c r="L8" s="2"/>
      <x:c r="M8" s="2"/>
      <x:c r="N8" s="2"/>
    </x:row>
    <x:row r="9" ht="15" hidden="0" customHeight="1">
      <x:c r="A9" s="2"/>
      <x:c r="B9" s="2"/>
      <x:c r="C9" s="2" t="str">
        <x:v>Hard blocker</x:v>
      </x:c>
      <x:c r="D9" s="2" t="str">
        <x:f>'Collateral'!D20</x:f>
        <x:v>NO</x:v>
      </x:c>
      <x:c r="E9" s="2" t="str">
        <x:v>status</x:v>
      </x:c>
      <x:c r="F9" s="2" t="str">
        <x:v>Ownership, lien, legal control, and approved route must all be clear</x:v>
      </x:c>
      <x:c r="G9" s="2"/>
      <x:c r="H9" s="2"/>
      <x:c r="I9" s="2"/>
      <x:c r="J9" s="2" t="str">
        <x:v>Collateral</x:v>
      </x:c>
      <x:c r="K9" s="57" t="n">
        <x:f>D11</x:f>
        <x:v>3046480</x:v>
      </x:c>
      <x:c r="L9" s="2"/>
      <x:c r="M9" s="2"/>
      <x:c r="N9" s="2"/>
    </x:row>
    <x:row r="10" ht="15" hidden="0" customHeight="1">
      <x:c r="A10" s="2"/>
      <x:c r="B10" s="2"/>
      <x:c r="C10" s="2" t="str">
        <x:v>Obligor cap</x:v>
      </x:c>
      <x:c r="D10" s="57" t="n">
        <x:f>'Portfolio'!D22</x:f>
        <x:v>7500000</x:v>
      </x:c>
      <x:c r="E10" s="2" t="str">
        <x:v>USD</x:v>
      </x:c>
      <x:c r="F10" s="2" t="str">
        <x:v>Illustrative</x:v>
      </x:c>
      <x:c r="G10" s="2"/>
      <x:c r="H10" s="2"/>
      <x:c r="I10" s="2"/>
      <x:c r="J10" s="2" t="str">
        <x:v>Single-name</x:v>
      </x:c>
      <x:c r="K10" s="57" t="n">
        <x:f>D12</x:f>
        <x:v>6000000</x:v>
      </x:c>
      <x:c r="L10" s="2"/>
      <x:c r="M10" s="2"/>
      <x:c r="N10" s="2"/>
    </x:row>
    <x:row r="11" ht="15" hidden="0" customHeight="1">
      <x:c r="A11" s="2"/>
      <x:c r="B11" s="2"/>
      <x:c r="C11" s="2" t="str">
        <x:v>Collateral cap</x:v>
      </x:c>
      <x:c r="D11" s="57" t="n">
        <x:f>'Portfolio'!D23</x:f>
        <x:v>3046480</x:v>
      </x:c>
      <x:c r="E11" s="2" t="str">
        <x:v>USD</x:v>
      </x:c>
      <x:c r="F11" s="2" t="str">
        <x:v>Eligibility-gated</x:v>
      </x:c>
      <x:c r="G11" s="2"/>
      <x:c r="H11" s="2"/>
      <x:c r="I11" s="2"/>
      <x:c r="J11" s="2" t="str">
        <x:v>Concentration</x:v>
      </x:c>
      <x:c r="K11" s="57" t="n">
        <x:f>D13</x:f>
        <x:v>4000000</x:v>
      </x:c>
      <x:c r="L11" s="2"/>
      <x:c r="M11" s="2"/>
      <x:c r="N11" s="2"/>
    </x:row>
    <x:row r="12" ht="15" hidden="0" customHeight="1">
      <x:c r="A12" s="2"/>
      <x:c r="B12" s="2"/>
      <x:c r="C12" s="2" t="str">
        <x:v>Single-name cap</x:v>
      </x:c>
      <x:c r="D12" s="57" t="n">
        <x:f>'Portfolio'!D24</x:f>
        <x:v>6000000</x:v>
      </x:c>
      <x:c r="E12" s="2" t="str">
        <x:v>USD</x:v>
      </x:c>
      <x:c r="F12" s="2" t="str">
        <x:v>Illustrative</x:v>
      </x:c>
      <x:c r="G12" s="2"/>
      <x:c r="H12" s="2"/>
      <x:c r="I12" s="2"/>
      <x:c r="J12" s="2"/>
      <x:c r="K12" s="2"/>
      <x:c r="L12" s="2"/>
      <x:c r="M12" s="2"/>
      <x:c r="N12" s="2"/>
    </x:row>
    <x:row r="13" ht="15" hidden="0" customHeight="1">
      <x:c r="A13" s="2"/>
      <x:c r="B13" s="2"/>
      <x:c r="C13" s="2" t="str">
        <x:v>Concentration cap</x:v>
      </x:c>
      <x:c r="D13" s="57" t="n">
        <x:f>'Portfolio'!D25</x:f>
        <x:v>4000000</x:v>
      </x:c>
      <x:c r="E13" s="2" t="str">
        <x:v>USD</x:v>
      </x:c>
      <x:c r="F13" s="2" t="str">
        <x:v>Illustrative</x:v>
      </x:c>
      <x:c r="G13" s="2"/>
      <x:c r="H13" s="2"/>
      <x:c r="I13" s="2"/>
      <x:c r="J13" s="2"/>
      <x:c r="K13" s="2"/>
      <x:c r="L13" s="2"/>
      <x:c r="M13" s="2"/>
      <x:c r="N13" s="2"/>
    </x:row>
    <x:row r="14" ht="15" hidden="0" customHeight="1">
      <x:c r="A14" s="2"/>
      <x:c r="B14" s="2"/>
      <x:c r="C14" s="2" t="str">
        <x:v>Recommended amount</x:v>
      </x:c>
      <x:c r="D14" s="57" t="n">
        <x:f>IF(D9="YES",0,FLOOR(MIN(D8,D10:D13),'Assumptions'!D14))</x:f>
        <x:v>3000000</x:v>
      </x:c>
      <x:c r="E14" s="2" t="str">
        <x:v>USD</x:v>
      </x:c>
      <x:c r="F14" s="2" t="str">
        <x:v>Lowest cap rounded down to the declared $100k increment, subject to no hard blocker</x:v>
      </x:c>
      <x:c r="G14" s="2"/>
      <x:c r="H14" s="2"/>
      <x:c r="I14" s="2"/>
      <x:c r="J14" s="2"/>
      <x:c r="K14" s="2"/>
      <x:c r="L14" s="2"/>
      <x:c r="M14" s="2"/>
      <x:c r="N14" s="2"/>
    </x:row>
    <x:row r="15" ht="15" hidden="0" customHeight="1">
      <x:c r="A15" s="2"/>
      <x:c r="B15" s="2"/>
      <x:c r="C15" s="2" t="str">
        <x:v>Recommendation</x:v>
      </x:c>
      <x:c r="D15" s="2" t="str">
        <x:f>IF(D9="YES","DECLINE PENDING DILIGENCE",IF(D14&gt;=D8,"APPROVE REQUESTED AMOUNT",IF(D14&gt;0,"APPROVE $"&amp;TEXT(D14/1000000,"0.0")&amp;"M SUBJECT TO SIMULATED CONDITIONS PRECEDENT","DECLINE")))</x:f>
        <x:v>APPROVE $3.0M SUBJECT TO SIMULATED CONDITIONS PRECEDENT</x:v>
      </x:c>
      <x:c r="E15" s="2" t="str">
        <x:v>decision</x:v>
      </x:c>
      <x:c r="F15" s="2" t="str">
        <x:v>Reassess after named diligence evidence is complete</x:v>
      </x:c>
      <x:c r="G15" s="2"/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2"/>
      <x:c r="B16" s="2"/>
      <x:c r="C16" s="2" t="str">
        <x:v>Funding gate</x:v>
      </x:c>
      <x:c r="D16" s="46" t="str">
        <x:f>'Conditions'!D10</x:f>
        <x:v>BLOCKED PENDING CONDITIONS</x:v>
      </x:c>
      <x:c r="E16" s="2" t="str">
        <x:v>status</x:v>
      </x:c>
      <x:c r="F16" s="2" t="str">
        <x:v>Conditional approval is not authority to fund</x:v>
      </x:c>
      <x:c r="G16" s="2"/>
      <x:c r="H16" s="2"/>
      <x:c r="I16" s="2"/>
      <x:c r="J16" s="2"/>
      <x:c r="K16" s="2"/>
      <x:c r="L16" s="2"/>
      <x:c r="M16" s="2"/>
      <x:c r="N16" s="2"/>
    </x:row>
    <x:row r="17" ht="15" hidden="0" customHeight="1">
      <x:c r="A17" s="2"/>
      <x:c r="B17" s="2"/>
      <x:c r="C17" s="12" t="str">
        <x:v>Supporting measure</x:v>
      </x:c>
      <x:c r="D17" s="13" t="str">
        <x:v>Value</x:v>
      </x:c>
      <x:c r="E17" s="13" t="str">
        <x:v>Unit</x:v>
      </x:c>
      <x:c r="F17" s="14" t="str">
        <x:v>Why it matters</x:v>
      </x:c>
      <x:c r="G17" s="2"/>
      <x:c r="H17" s="2"/>
      <x:c r="I17" s="2"/>
      <x:c r="J17" s="2"/>
      <x:c r="K17" s="2"/>
      <x:c r="L17" s="2"/>
      <x:c r="M17" s="2"/>
      <x:c r="N17" s="2"/>
    </x:row>
    <x:row r="18" ht="15" hidden="0" customHeight="1">
      <x:c r="A18" s="2"/>
      <x:c r="B18" s="2"/>
      <x:c r="C18" s="2" t="str">
        <x:v>Available proceeds before legal gate</x:v>
      </x:c>
      <x:c r="D18" s="57" t="n">
        <x:f>'Collateral'!D15</x:f>
        <x:v>3870600</x:v>
      </x:c>
      <x:c r="E18" s="2" t="str">
        <x:v>USD</x:v>
      </x:c>
      <x:c r="F18" s="2" t="str">
        <x:v>Economic value before enforceability constraints</x:v>
      </x:c>
      <x:c r="G18" s="2"/>
      <x:c r="H18" s="2"/>
      <x:c r="I18" s="2"/>
      <x:c r="J18" s="2"/>
      <x:c r="K18" s="2"/>
      <x:c r="L18" s="2"/>
      <x:c r="M18" s="2"/>
      <x:c r="N18" s="2"/>
    </x:row>
    <x:row r="19" ht="15" hidden="0" customHeight="1">
      <x:c r="A19" s="2"/>
      <x:c r="B19" s="2"/>
      <x:c r="C19" s="2" t="str">
        <x:v>Eligible proceeds</x:v>
      </x:c>
      <x:c r="D19" s="57" t="n">
        <x:f>'Collateral'!D21</x:f>
        <x:v>3870600</x:v>
      </x:c>
      <x:c r="E19" s="2" t="str">
        <x:v>USD</x:v>
      </x:c>
      <x:c r="F19" s="2" t="str">
        <x:v>Equals available proceeds only when every simulated condition precedent is clear</x:v>
      </x:c>
      <x:c r="G19" s="2"/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2"/>
      <x:c r="B20" s="2"/>
      <x:c r="C20" s="2" t="str">
        <x:v>Requested-draw recovery exposure</x:v>
      </x:c>
      <x:c r="D20" s="57" t="n">
        <x:f>'Collateral'!D27</x:f>
        <x:v>5050000</x:v>
      </x:c>
      <x:c r="E20" s="2" t="str">
        <x:v>USD</x:v>
      </x:c>
      <x:c r="F20" s="2" t="str">
        <x:v>Requested fully drawn amount plus accrued; used only for recovery testing</x:v>
      </x:c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2"/>
      <x:c r="B21" s="2"/>
      <x:c r="C21" s="2" t="str">
        <x:v>Requested-draw recovery shortfall</x:v>
      </x:c>
      <x:c r="D21" s="57" t="n">
        <x:f>'Collateral'!D28</x:f>
        <x:v>1179400</x:v>
      </x:c>
      <x:c r="E21" s="2" t="str">
        <x:v>USD</x:v>
      </x:c>
      <x:c r="F21" s="2" t="str">
        <x:v>Requested-draw recovery exposure less eligible proceeds, floored at zero</x:v>
      </x:c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2"/>
      <x:c r="B22" s="2"/>
      <x:c r="C22" s="2" t="str">
        <x:v>Recommended pro forma exposure</x:v>
      </x:c>
      <x:c r="D22" s="57" t="n">
        <x:f>IF(D14&gt;0,D14+'Assumptions'!D10,0)</x:f>
        <x:v>3050000</x:v>
      </x:c>
      <x:c r="E22" s="2" t="str">
        <x:v>USD</x:v>
      </x:c>
      <x:c r="F22" s="2" t="str">
        <x:v>Recommended limit plus accrued amount</x:v>
      </x:c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2"/>
      <x:c r="B23" s="2"/>
      <x:c r="C23" s="2" t="str">
        <x:v>Recommended-limit coverage surplus</x:v>
      </x:c>
      <x:c r="D23" s="57" t="n">
        <x:f>D19-D22</x:f>
        <x:v>820600</x:v>
      </x:c>
      <x:c r="E23" s="2" t="str">
        <x:v>USD</x:v>
      </x:c>
      <x:c r="F23" s="2" t="str">
        <x:v>Eligible proceeds less recommended pro forma exposure</x:v>
      </x:c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7" t="str">
        <x:v>Action</x:v>
      </x:c>
      <x:c r="D26" s="7" t="str">
        <x:v>Requirement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84" hidden="0" customHeight="1">
      <x:c r="A27" s="2"/>
      <x:c r="B27" s="2"/>
      <x:c r="C27" s="2" t="str">
        <x:v>Decision</x:v>
      </x:c>
      <x:c r="D27" s="22" t="str">
        <x:v>Approve a $3.0 million conditional limit only if the simulated ownership, first-priority lien, enforceable control, and Base-to-cash route conditions are evidenced before funding.</x:v>
      </x:c>
      <x:c r="E27" s="22"/>
      <x:c r="F27" s="22"/>
      <x:c r="G27" s="22"/>
      <x:c r="H27" s="22"/>
      <x:c r="I27" s="2"/>
      <x:c r="J27" s="2"/>
      <x:c r="K27" s="2"/>
      <x:c r="L27" s="2"/>
      <x:c r="M27" s="2"/>
      <x:c r="N27" s="2"/>
    </x:row>
    <x:row r="28" ht="48" hidden="0" customHeight="1">
      <x:c r="A28" s="2"/>
      <x:c r="B28" s="2"/>
      <x:c r="C28" s="2" t="str">
        <x:v>Alternative 1</x:v>
      </x:c>
      <x:c r="D28" s="22" t="str">
        <x:v>Consider a smaller unsecured limit only after primary-repayment analysis and full policy review.</x:v>
      </x:c>
      <x:c r="E28" s="22"/>
      <x:c r="F28" s="22"/>
      <x:c r="G28" s="22"/>
      <x:c r="H28" s="22"/>
      <x:c r="I28" s="2"/>
      <x:c r="J28" s="2"/>
      <x:c r="K28" s="2"/>
      <x:c r="L28" s="2"/>
      <x:c r="M28" s="2"/>
      <x:c r="N28" s="2"/>
    </x:row>
    <x:row r="29" ht="48" hidden="0" customHeight="1">
      <x:c r="A29" s="2"/>
      <x:c r="B29" s="2"/>
      <x:c r="C29" s="2" t="str">
        <x:v>Alternative 2</x:v>
      </x:c>
      <x:c r="D29" s="22" t="str">
        <x:v>Decline if any simulated condition precedent remains unknown or the Base-to-cash route fails.</x:v>
      </x:c>
      <x:c r="E29" s="22"/>
      <x:c r="F29" s="22"/>
      <x:c r="G29" s="22"/>
      <x:c r="H29" s="22"/>
      <x:c r="I29" s="2"/>
      <x:c r="J29" s="2"/>
      <x:c r="K29" s="2"/>
      <x:c r="L29" s="2"/>
      <x:c r="M29" s="2"/>
      <x:c r="N29" s="2"/>
    </x:row>
    <x:row r="30" ht="48" hidden="0" customHeight="1">
      <x:c r="A30" s="2"/>
      <x:c r="B30" s="2"/>
      <x:c r="C30" s="2" t="str">
        <x:v>Strongest objection</x:v>
      </x:c>
      <x:c r="D30" s="22" t="str">
        <x:v>The request is small relative to reported cash and bitcoin, but those balances do not establish availability to this facility.</x:v>
      </x:c>
      <x:c r="E30" s="22"/>
      <x:c r="F30" s="22"/>
      <x:c r="G30" s="22"/>
      <x:c r="H30" s="2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D16:D16">
    <x:cfRule type="containsText" dxfId="5" priority="1" operator="containsText" text="BLOCKED"/>
  </x:conditionalFormatting>
  <x:pageMargins left="0.7" right="0.7" top="0.75" bottom="0.75" header="0.3" footer="0.3"/>
  <x:drawing xmlns:r="http://schemas.openxmlformats.org/officeDocument/2006/relationships" r:id="R501cfe614d804d52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14" hidden="0" customWidth="1"/>
    <x:col min="4" max="4" width="22" hidden="0" customWidth="1"/>
    <x:col min="5" max="5" width="15" hidden="0" customWidth="1"/>
    <x:col min="6" max="6" width="38" hidden="0" customWidth="1"/>
    <x:col min="7" max="7" width="14" hidden="0" customWidth="1"/>
    <x:col min="8" max="8" width="28" hidden="0" customWidth="1"/>
    <x:col min="9" max="9" width="28" hidden="0" customWidth="1"/>
    <x:col min="10" max="10" width="46" hidden="0" customWidth="1"/>
    <x:col min="11" max="11" width="46" hidden="0" customWidth="1"/>
    <x:col min="12" max="12" width="26" hidden="0" customWidth="1"/>
    <x:col min="13" max="13" width="16" hidden="0" customWidth="1"/>
    <x:col min="14" max="14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Fictional case assumptions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Editable inputs only — not MARA or Coinbase terms or policy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8" t="str">
        <x:v>Facility terms</x:v>
      </x:c>
      <x:c r="D6" s="9" t="str"/>
      <x:c r="E6" s="9" t="str"/>
      <x:c r="F6" s="9" t="str"/>
      <x:c r="G6" s="9" t="str"/>
      <x:c r="H6" s="10" t="str"/>
      <x:c r="I6" s="2"/>
      <x:c r="J6" s="2"/>
      <x:c r="K6" s="2"/>
      <x:c r="L6" s="2"/>
      <x:c r="M6" s="2"/>
      <x:c r="N6" s="2"/>
    </x:row>
    <x:row r="7" ht="15" hidden="0" customHeight="1">
      <x:c r="A7" s="2"/>
      <x:c r="B7" s="2"/>
      <x:c r="C7" s="12" t="str">
        <x:v>Input</x:v>
      </x:c>
      <x:c r="D7" s="13" t="str">
        <x:v>Value</x:v>
      </x:c>
      <x:c r="E7" s="13" t="str">
        <x:v>Unit</x:v>
      </x:c>
      <x:c r="F7" s="14" t="str">
        <x:v>Evidence class</x:v>
      </x:c>
      <x:c r="G7" s="2"/>
      <x:c r="H7" s="2"/>
      <x:c r="I7" s="2"/>
      <x:c r="J7" s="2"/>
      <x:c r="K7" s="2"/>
      <x:c r="L7" s="2"/>
      <x:c r="M7" s="2"/>
      <x:c r="N7" s="2"/>
    </x:row>
    <x:row r="8" ht="15" hidden="0" customHeight="1">
      <x:c r="A8" s="2"/>
      <x:c r="B8" s="2"/>
      <x:c r="C8" s="2" t="str">
        <x:v>Requested commitment</x:v>
      </x:c>
      <x:c r="D8" s="17" t="n">
        <x:v>5000000</x:v>
      </x:c>
      <x:c r="E8" s="2" t="str">
        <x:v>USD</x:v>
      </x:c>
      <x:c r="F8" s="2" t="str">
        <x:v>Assumed</x:v>
      </x:c>
      <x:c r="G8" s="2"/>
      <x:c r="H8" s="2"/>
      <x:c r="I8" s="2"/>
      <x:c r="J8" s="2"/>
      <x:c r="K8" s="2"/>
      <x:c r="L8" s="2"/>
      <x:c r="M8" s="2"/>
      <x:c r="N8" s="2"/>
    </x:row>
    <x:row r="9" ht="15" hidden="0" customHeight="1">
      <x:c r="A9" s="2"/>
      <x:c r="B9" s="2"/>
      <x:c r="C9" s="2" t="str">
        <x:v>Funded exposure</x:v>
      </x:c>
      <x:c r="D9" s="17" t="n">
        <x:v>5000000</x:v>
      </x:c>
      <x:c r="E9" s="2" t="str">
        <x:v>USD</x:v>
      </x:c>
      <x:c r="F9" s="2" t="str">
        <x:v>Assumed</x:v>
      </x:c>
      <x:c r="G9" s="2"/>
      <x:c r="H9" s="2"/>
      <x:c r="I9" s="2"/>
      <x:c r="J9" s="2"/>
      <x:c r="K9" s="2"/>
      <x:c r="L9" s="2"/>
      <x:c r="M9" s="2"/>
      <x:c r="N9" s="2"/>
    </x:row>
    <x:row r="10" ht="15" hidden="0" customHeight="1">
      <x:c r="A10" s="2"/>
      <x:c r="B10" s="2"/>
      <x:c r="C10" s="2" t="str">
        <x:v>Accrued amount</x:v>
      </x:c>
      <x:c r="D10" s="17" t="n">
        <x:v>50000</x:v>
      </x:c>
      <x:c r="E10" s="2" t="str">
        <x:v>USD</x:v>
      </x:c>
      <x:c r="F10" s="2" t="str">
        <x:v>Assumed</x:v>
      </x:c>
      <x:c r="G10" s="2"/>
      <x:c r="H10" s="2"/>
      <x:c r="I10" s="2"/>
      <x:c r="J10" s="2"/>
      <x:c r="K10" s="2"/>
      <x:c r="L10" s="2"/>
      <x:c r="M10" s="2"/>
      <x:c r="N10" s="2"/>
    </x:row>
    <x:row r="11" ht="15" hidden="0" customHeight="1">
      <x:c r="A11" s="2"/>
      <x:c r="B11" s="2"/>
      <x:c r="C11" s="2" t="str">
        <x:v>Tenor</x:v>
      </x:c>
      <x:c r="D11" s="16" t="n">
        <x:v>12</x:v>
      </x:c>
      <x:c r="E11" s="2" t="str">
        <x:v>months</x:v>
      </x:c>
      <x:c r="F11" s="2" t="str">
        <x:v>Assumed</x:v>
      </x:c>
      <x:c r="G11" s="2"/>
      <x:c r="H11" s="2"/>
      <x:c r="I11" s="2"/>
      <x:c r="J11" s="2"/>
      <x:c r="K11" s="2"/>
      <x:c r="L11" s="2"/>
      <x:c r="M11" s="2"/>
      <x:c r="N11" s="2"/>
    </x:row>
    <x:row r="12" ht="15" hidden="0" customHeight="1">
      <x:c r="A12" s="2"/>
      <x:c r="B12" s="2"/>
      <x:c r="C12" s="2" t="str">
        <x:v>Required collateral coverage</x:v>
      </x:c>
      <x:c r="D12" s="18" t="n">
        <x:v>1.25</x:v>
      </x:c>
      <x:c r="E12" s="2" t="str">
        <x:v>x</x:v>
      </x:c>
      <x:c r="F12" s="2" t="str">
        <x:v>Assumed</x:v>
      </x:c>
      <x:c r="G12" s="2"/>
      <x:c r="H12" s="2"/>
      <x:c r="I12" s="2"/>
      <x:c r="J12" s="2"/>
      <x:c r="K12" s="2"/>
      <x:c r="L12" s="2"/>
      <x:c r="M12" s="2"/>
      <x:c r="N12" s="2"/>
    </x:row>
    <x:row r="13" ht="15" hidden="0" customHeight="1">
      <x:c r="A13" s="2"/>
      <x:c r="B13" s="2"/>
      <x:c r="C13" s="2" t="str">
        <x:v>Obligor cap</x:v>
      </x:c>
      <x:c r="D13" s="17" t="n">
        <x:v>7500000</x:v>
      </x:c>
      <x:c r="E13" s="2" t="str">
        <x:v>USD</x:v>
      </x:c>
      <x:c r="F13" s="2" t="str">
        <x:v>Illustrative policy</x:v>
      </x:c>
      <x:c r="G13" s="2"/>
      <x:c r="H13" s="2"/>
      <x:c r="I13" s="2"/>
      <x:c r="J13" s="2"/>
      <x:c r="K13" s="2"/>
      <x:c r="L13" s="2"/>
      <x:c r="M13" s="2"/>
      <x:c r="N13" s="2"/>
    </x:row>
    <x:row r="14" ht="15" hidden="0" customHeight="1">
      <x:c r="A14" s="2"/>
      <x:c r="B14" s="2"/>
      <x:c r="C14" s="2" t="str">
        <x:v>Recommendation increment</x:v>
      </x:c>
      <x:c r="D14" s="17" t="n">
        <x:v>100000</x:v>
      </x:c>
      <x:c r="E14" s="2" t="str">
        <x:v>USD</x:v>
      </x:c>
      <x:c r="F14" s="2" t="str">
        <x:v>Illustrative policy</x:v>
      </x:c>
      <x:c r="G14" s="2"/>
      <x:c r="H14" s="2"/>
      <x:c r="I14" s="2"/>
      <x:c r="J14" s="2"/>
      <x:c r="K14" s="2"/>
      <x:c r="L14" s="2"/>
      <x:c r="M14" s="2"/>
      <x:c r="N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2"/>
      <x:c r="B16" s="2"/>
      <x:c r="C16" s="8" t="str">
        <x:v>Collateral and liquidation assumptions</x:v>
      </x:c>
      <x:c r="D16" s="9" t="str"/>
      <x:c r="E16" s="9" t="str"/>
      <x:c r="F16" s="9" t="str"/>
      <x:c r="G16" s="9" t="str"/>
      <x:c r="H16" s="10" t="str"/>
      <x:c r="I16" s="2"/>
      <x:c r="J16" s="2"/>
      <x:c r="K16" s="2"/>
      <x:c r="L16" s="2"/>
      <x:c r="M16" s="2"/>
      <x:c r="N16" s="2"/>
    </x:row>
    <x:row r="17" ht="15" hidden="0" customHeight="1">
      <x:c r="A17" s="2"/>
      <x:c r="B17" s="2"/>
      <x:c r="C17" s="12" t="str">
        <x:v>Input</x:v>
      </x:c>
      <x:c r="D17" s="13" t="str">
        <x:v>Value</x:v>
      </x:c>
      <x:c r="E17" s="13" t="str">
        <x:v>Unit</x:v>
      </x:c>
      <x:c r="F17" s="14" t="str">
        <x:v>Evidence class</x:v>
      </x:c>
      <x:c r="G17" s="2"/>
      <x:c r="H17" s="2"/>
      <x:c r="I17" s="2"/>
      <x:c r="J17" s="2"/>
      <x:c r="K17" s="2"/>
      <x:c r="L17" s="2"/>
      <x:c r="M17" s="2"/>
      <x:c r="N17" s="2"/>
    </x:row>
    <x:row r="18" ht="15" hidden="0" customHeight="1">
      <x:c r="A18" s="2"/>
      <x:c r="B18" s="2"/>
      <x:c r="C18" s="2" t="str">
        <x:v>Fictional USDC quantity</x:v>
      </x:c>
      <x:c r="D18" s="19" t="n">
        <x:v>4000000</x:v>
      </x:c>
      <x:c r="E18" s="2" t="str">
        <x:v>USDC</x:v>
      </x:c>
      <x:c r="F18" s="2" t="str">
        <x:v>Simulated</x:v>
      </x:c>
      <x:c r="G18" s="2"/>
      <x:c r="H18" s="2"/>
      <x:c r="I18" s="2"/>
      <x:c r="J18" s="2"/>
      <x:c r="K18" s="2"/>
      <x:c r="L18" s="2"/>
      <x:c r="M18" s="2"/>
      <x:c r="N18" s="2"/>
    </x:row>
    <x:row r="19" ht="15" hidden="0" customHeight="1">
      <x:c r="A19" s="2"/>
      <x:c r="B19" s="2"/>
      <x:c r="C19" s="2" t="str">
        <x:v>Reference USDC price</x:v>
      </x:c>
      <x:c r="D19" s="17" t="n">
        <x:v>1</x:v>
      </x:c>
      <x:c r="E19" s="2" t="str">
        <x:v>USD/USDC</x:v>
      </x:c>
      <x:c r="F19" s="2" t="str">
        <x:v>Assumed</x:v>
      </x:c>
      <x:c r="G19" s="2"/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2"/>
      <x:c r="B20" s="2"/>
      <x:c r="C20" s="2" t="str">
        <x:v>Price stress</x:v>
      </x:c>
      <x:c r="D20" s="20" t="n">
        <x:v>0.02</x:v>
      </x:c>
      <x:c r="E20" s="2" t="str">
        <x:v>% decline</x:v>
      </x:c>
      <x:c r="F20" s="2" t="str">
        <x:v>Assumed</x:v>
      </x:c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2"/>
      <x:c r="B21" s="2"/>
      <x:c r="C21" s="2" t="str">
        <x:v>Execution cost</x:v>
      </x:c>
      <x:c r="D21" s="20" t="n">
        <x:v>0.005</x:v>
      </x:c>
      <x:c r="E21" s="2" t="str">
        <x:v>% of gross</x:v>
      </x:c>
      <x:c r="F21" s="2" t="str">
        <x:v>Assumed</x:v>
      </x:c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2"/>
      <x:c r="B22" s="2"/>
      <x:c r="C22" s="2" t="str">
        <x:v>Earliest usable</x:v>
      </x:c>
      <x:c r="D22" s="16" t="n">
        <x:v>2</x:v>
      </x:c>
      <x:c r="E22" s="2" t="str">
        <x:v>hours</x:v>
      </x:c>
      <x:c r="F22" s="2" t="str">
        <x:v>Assumed</x:v>
      </x:c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2"/>
      <x:c r="B23" s="2"/>
      <x:c r="C23" s="2" t="str">
        <x:v>Delay cost per hour</x:v>
      </x:c>
      <x:c r="D23" s="20" t="n">
        <x:v>0.00125</x:v>
      </x:c>
      <x:c r="E23" s="2" t="str">
        <x:v>% per hour</x:v>
      </x:c>
      <x:c r="F23" s="2" t="str">
        <x:v>Assumed</x:v>
      </x:c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 t="str">
        <x:v>Fixed cost</x:v>
      </x:c>
      <x:c r="D24" s="17" t="n">
        <x:v>20000</x:v>
      </x:c>
      <x:c r="E24" s="2" t="str">
        <x:v>USD</x:v>
      </x:c>
      <x:c r="F24" s="2" t="str">
        <x:v>Assumed</x:v>
      </x:c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 t="str">
        <x:v>Ownership evidence</x:v>
      </x:c>
      <x:c r="D25" s="16" t="str">
        <x:v>Yes</x:v>
      </x:c>
      <x:c r="E25" s="2" t="str">
        <x:v>status</x:v>
      </x:c>
      <x:c r="F25" s="2" t="str">
        <x:v>Simulated condition precedent</x:v>
      </x:c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 t="str">
        <x:v>Legal control</x:v>
      </x:c>
      <x:c r="D26" s="16" t="str">
        <x:v>Yes</x:v>
      </x:c>
      <x:c r="E26" s="2" t="str">
        <x:v>status</x:v>
      </x:c>
      <x:c r="F26" s="2" t="str">
        <x:v>Simulated condition precedent</x:v>
      </x:c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 t="str">
        <x:v>Prior lien search</x:v>
      </x:c>
      <x:c r="D27" s="16" t="str">
        <x:v>Yes</x:v>
      </x:c>
      <x:c r="E27" s="2" t="str">
        <x:v>status</x:v>
      </x:c>
      <x:c r="F27" s="2" t="str">
        <x:v>Simulated condition precedent</x:v>
      </x:c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 t="str">
        <x:v>Approved Base-to-cash route</x:v>
      </x:c>
      <x:c r="D28" s="16" t="str">
        <x:v>Yes</x:v>
      </x:c>
      <x:c r="E28" s="2" t="str">
        <x:v>status</x:v>
      </x:c>
      <x:c r="F28" s="2" t="str">
        <x:v>Simulated condition precedent</x:v>
      </x:c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8" t="str">
        <x:v>Illustrative portfolio policy</x:v>
      </x:c>
      <x:c r="D30" s="9" t="str"/>
      <x:c r="E30" s="9" t="str"/>
      <x:c r="F30" s="9" t="str"/>
      <x:c r="G30" s="9" t="str"/>
      <x:c r="H30" s="10" t="str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12" t="str">
        <x:v>Input</x:v>
      </x:c>
      <x:c r="D31" s="13" t="str">
        <x:v>Value</x:v>
      </x:c>
      <x:c r="E31" s="13" t="str">
        <x:v>Unit</x:v>
      </x:c>
      <x:c r="F31" s="14" t="str">
        <x:v>Evidence class</x:v>
      </x:c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 t="str">
        <x:v>Single-name limit</x:v>
      </x:c>
      <x:c r="D32" s="17" t="n">
        <x:v>6000000</x:v>
      </x:c>
      <x:c r="E32" s="2" t="str">
        <x:v>USD</x:v>
      </x:c>
      <x:c r="F32" s="2" t="str">
        <x:v>Illustrative policy</x:v>
      </x:c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 t="str">
        <x:v>Digital-mining sector limit</x:v>
      </x:c>
      <x:c r="D33" s="17" t="n">
        <x:v>8500000</x:v>
      </x:c>
      <x:c r="E33" s="2" t="str">
        <x:v>USD</x:v>
      </x:c>
      <x:c r="F33" s="2" t="str">
        <x:v>Illustrative policy</x:v>
      </x:c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 t="str">
        <x:v>USDC collateral concentration limit</x:v>
      </x:c>
      <x:c r="D34" s="17" t="n">
        <x:v>15000000</x:v>
      </x:c>
      <x:c r="E34" s="2" t="str">
        <x:v>USD</x:v>
      </x:c>
      <x:c r="F34" s="2" t="str">
        <x:v>Illustrative policy</x:v>
      </x:c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 t="str">
        <x:v>Shared custody-route limit</x:v>
      </x:c>
      <x:c r="D35" s="17" t="n">
        <x:v>10000000</x:v>
      </x:c>
      <x:c r="E35" s="2" t="str">
        <x:v>USD</x:v>
      </x:c>
      <x:c r="F35" s="2" t="str">
        <x:v>Illustrative policy</x:v>
      </x:c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36" hidden="0" customHeight="1">
      <x:c r="A38" s="2"/>
      <x:c r="B38" s="2"/>
      <x:c r="C38" s="21" t="str">
        <x:v>Use</x:v>
      </x:c>
      <x:c r="D38" s="22" t="str">
        <x:v>Yellow cells are editable fictional assumptions. Blue font marks inputs.</x:v>
      </x:c>
      <x:c r="E38" s="22"/>
      <x:c r="F38" s="22"/>
      <x:c r="G38" s="22"/>
      <x:c r="H38" s="22"/>
      <x:c r="I38" s="2"/>
      <x:c r="J38" s="2"/>
      <x:c r="K38" s="2"/>
      <x:c r="L38" s="2"/>
      <x:c r="M38" s="2"/>
      <x:c r="N38" s="2"/>
    </x:row>
    <x:row r="39" ht="36" hidden="0" customHeight="1">
      <x:c r="A39" s="2"/>
      <x:c r="B39" s="2"/>
      <x:c r="C39" s="21" t="str">
        <x:v>Boundary</x:v>
      </x:c>
      <x:c r="D39" s="22" t="str">
        <x:v>Public MARA facts appear only on Financials and are never treated as pledged collateral.</x:v>
      </x:c>
      <x:c r="E39" s="22"/>
      <x:c r="F39" s="22"/>
      <x:c r="G39" s="22"/>
      <x:c r="H39" s="22"/>
      <x:c r="I39" s="2"/>
      <x:c r="J39" s="2"/>
      <x:c r="K39" s="2"/>
      <x:c r="L39" s="2"/>
      <x:c r="M39" s="2"/>
      <x:c r="N39" s="2"/>
    </x:row>
    <x:row r="40" ht="24" hidden="0" customHeight="1">
      <x:c r="A40" s="2"/>
      <x:c r="B40" s="2"/>
      <x:c r="C40" s="21" t="str">
        <x:v>Decision rule</x:v>
      </x:c>
      <x:c r="D40" s="22" t="str">
        <x:v>Approval requires the lowest of four caps and no hard blocker.</x:v>
      </x:c>
      <x:c r="E40" s="22"/>
      <x:c r="F40" s="22"/>
      <x:c r="G40" s="22"/>
      <x:c r="H40" s="2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8" t="str">
        <x:v>Assumption governance</x:v>
      </x:c>
      <x:c r="D43" s="9" t="str"/>
      <x:c r="E43" s="9" t="str"/>
      <x:c r="F43" s="9" t="str"/>
      <x:c r="G43" s="9" t="str"/>
      <x:c r="H43" s="9" t="str"/>
      <x:c r="I43" s="9" t="str"/>
      <x:c r="J43" s="9" t="str"/>
      <x:c r="K43" s="9" t="str"/>
      <x:c r="L43" s="10" t="str"/>
      <x:c r="M43" s="2"/>
      <x:c r="N43" s="2"/>
    </x:row>
    <x:row r="44" ht="15" hidden="0" customHeight="1">
      <x:c r="A44" s="2"/>
      <x:c r="B44" s="2"/>
      <x:c r="C44" s="23" t="str">
        <x:v>ID</x:v>
      </x:c>
      <x:c r="D44" s="24" t="str">
        <x:v>Materiality</x:v>
      </x:c>
      <x:c r="E44" s="24" t="str">
        <x:v>Status</x:v>
      </x:c>
      <x:c r="F44" s="24" t="str">
        <x:v>Assumption</x:v>
      </x:c>
      <x:c r="G44" s="24" t="str">
        <x:v>Class</x:v>
      </x:c>
      <x:c r="H44" s="24" t="str">
        <x:v>Owner</x:v>
      </x:c>
      <x:c r="I44" s="24" t="str">
        <x:v>Workbook inputs</x:v>
      </x:c>
      <x:c r="J44" s="24" t="str">
        <x:v>Validation method</x:v>
      </x:c>
      <x:c r="K44" s="24" t="str">
        <x:v>Challenge trigger</x:v>
      </x:c>
      <x:c r="L44" s="25" t="str">
        <x:v>Affected lineage</x:v>
      </x:c>
      <x:c r="M44" s="2"/>
      <x:c r="N44" s="2"/>
    </x:row>
    <x:row r="45" ht="58" hidden="0" customHeight="1">
      <x:c r="A45" s="2"/>
      <x:c r="B45" s="2"/>
      <x:c r="C45" s="22" t="str">
        <x:v>ASM-C001</x:v>
      </x:c>
      <x:c r="D45" s="22" t="str">
        <x:v>high</x:v>
      </x:c>
      <x:c r="E45" s="22" t="str">
        <x:v>unvalidated</x:v>
      </x:c>
      <x:c r="F45" s="22" t="str">
        <x:v>Facility structure and primary repayment framing</x:v>
      </x:c>
      <x:c r="G45" s="22" t="str">
        <x:v>assumed</x:v>
      </x:c>
      <x:c r="H45" s="22" t="str">
        <x:v>Credit risk</x:v>
      </x:c>
      <x:c r="I45" s="22" t="str">
        <x:v>Assumptions!D8:D14</x:v>
      </x:c>
      <x:c r="J45" s="22" t="str">
        <x:v>Reconcile executed term sheet, use of proceeds, borrowing-entity forecast, and debt-service schedule.</x:v>
      </x:c>
      <x:c r="K45" s="22" t="str">
        <x:v>Actual borrower, purpose, tenor, repayment source, or facility structure differs from the fictional case.</x:v>
      </x:c>
      <x:c r="L45" s="22" t="str">
        <x:v>LIN-01, LIN-03, LIN-08, LIN-09, LIN-11</x:v>
      </x:c>
      <x:c r="M45" s="2"/>
      <x:c r="N45" s="2"/>
    </x:row>
    <x:row r="46" ht="58" hidden="0" customHeight="1">
      <x:c r="A46" s="2"/>
      <x:c r="B46" s="2"/>
      <x:c r="C46" s="22" t="str">
        <x:v>ASM-C002</x:v>
      </x:c>
      <x:c r="D46" s="22" t="str">
        <x:v>critical</x:v>
      </x:c>
      <x:c r="E46" s="22" t="str">
        <x:v>unvalidated</x:v>
      </x:c>
      <x:c r="F46" s="22" t="str">
        <x:v>Four million USDC collateral lot on Base</x:v>
      </x:c>
      <x:c r="G46" s="22" t="str">
        <x:v>simulated</x:v>
      </x:c>
      <x:c r="H46" s="22" t="str">
        <x:v>Collateral operations</x:v>
      </x:c>
      <x:c r="I46" s="22" t="str">
        <x:v>Assumptions!D18:D19</x:v>
      </x:c>
      <x:c r="J46" s="22" t="str">
        <x:v>Verify asset, quantity, beneficial ownership, custody balance, chain, and controlled account.</x:v>
      </x:c>
      <x:c r="K46" s="22" t="str">
        <x:v>Proposed asset, quantity, custody venue, chain, ownership, or accessibility changes.</x:v>
      </x:c>
      <x:c r="L46" s="22" t="str">
        <x:v>LIN-04, LIN-05, LIN-08, LIN-09, LIN-11</x:v>
      </x:c>
      <x:c r="M46" s="2"/>
      <x:c r="N46" s="2"/>
    </x:row>
    <x:row r="47" ht="58" hidden="0" customHeight="1">
      <x:c r="A47" s="2"/>
      <x:c r="B47" s="2"/>
      <x:c r="C47" s="22" t="str">
        <x:v>ASM-C003</x:v>
      </x:c>
      <x:c r="D47" s="22" t="str">
        <x:v>critical</x:v>
      </x:c>
      <x:c r="E47" s="22" t="str">
        <x:v>unvalidated</x:v>
      </x:c>
      <x:c r="F47" s="22" t="str">
        <x:v>Collateral stress, execution cost, delay cost, fixed cost, and coverage</x:v>
      </x:c>
      <x:c r="G47" s="22" t="str">
        <x:v>assumed</x:v>
      </x:c>
      <x:c r="H47" s="22" t="str">
        <x:v>Credit risk and collateral operations</x:v>
      </x:c>
      <x:c r="I47" s="22" t="str">
        <x:v>Assumptions!D20:D24</x:v>
      </x:c>
      <x:c r="J47" s="22" t="str">
        <x:v>Calibrate to approved policy, executable market evidence, route tests, and documented fees.</x:v>
      </x:c>
      <x:c r="K47" s="22" t="str">
        <x:v>Observed liquidity, execution cost, route timing, fees, or required coverage differs materially.</x:v>
      </x:c>
      <x:c r="L47" s="22" t="str">
        <x:v>LIN-04, LIN-05, LIN-08</x:v>
      </x:c>
      <x:c r="M47" s="2"/>
      <x:c r="N47" s="2"/>
    </x:row>
    <x:row r="48" ht="58" hidden="0" customHeight="1">
      <x:c r="A48" s="2"/>
      <x:c r="B48" s="2"/>
      <x:c r="C48" s="22" t="str">
        <x:v>ASM-C004</x:v>
      </x:c>
      <x:c r="D48" s="22" t="str">
        <x:v>high</x:v>
      </x:c>
      <x:c r="E48" s="22" t="str">
        <x:v>unvalidated</x:v>
      </x:c>
      <x:c r="F48" s="22" t="str">
        <x:v>Illustrative obligor cap and ordinal rating</x:v>
      </x:c>
      <x:c r="G48" s="22" t="str">
        <x:v>assumed</x:v>
      </x:c>
      <x:c r="H48" s="22" t="str">
        <x:v>Credit risk</x:v>
      </x:c>
      <x:c r="I48" s="22" t="str">
        <x:v>Rating!E7:F11;Portfolio!D22</x:v>
      </x:c>
      <x:c r="J48" s="22" t="str">
        <x:v>Complete private repayment analysis and independent rating review against approved criteria.</x:v>
      </x:c>
      <x:c r="K48" s="22" t="str">
        <x:v>Private forecast, debt schedule, liquidity, or operating performance changes the obligor assessment.</x:v>
      </x:c>
      <x:c r="L48" s="22" t="str">
        <x:v>LIN-02, LIN-03, LIN-08</x:v>
      </x:c>
      <x:c r="M48" s="2"/>
      <x:c r="N48" s="2"/>
    </x:row>
    <x:row r="49" ht="58" hidden="0" customHeight="1">
      <x:c r="A49" s="2"/>
      <x:c r="B49" s="2"/>
      <x:c r="C49" s="22" t="str">
        <x:v>ASM-C005</x:v>
      </x:c>
      <x:c r="D49" s="22" t="str">
        <x:v>high</x:v>
      </x:c>
      <x:c r="E49" s="22" t="str">
        <x:v>unvalidated</x:v>
      </x:c>
      <x:c r="F49" s="22" t="str">
        <x:v>Illustrative single-name capacity</x:v>
      </x:c>
      <x:c r="G49" s="22" t="str">
        <x:v>assumed</x:v>
      </x:c>
      <x:c r="H49" s="22" t="str">
        <x:v>Portfolio risk</x:v>
      </x:c>
      <x:c r="I49" s="22" t="str">
        <x:v>Assumptions!D32</x:v>
      </x:c>
      <x:c r="J49" s="22" t="str">
        <x:v>Reconcile to current approved single-name policy and live portfolio exposure.</x:v>
      </x:c>
      <x:c r="K49" s="22" t="str">
        <x:v>Policy limit, current exposure, pending commitments, or risk appetite differs.</x:v>
      </x:c>
      <x:c r="L49" s="22" t="str">
        <x:v>LIN-06, LIN-08, LIN-09</x:v>
      </x:c>
      <x:c r="M49" s="2"/>
      <x:c r="N49" s="2"/>
    </x:row>
    <x:row r="50" ht="58" hidden="0" customHeight="1">
      <x:c r="A50" s="2"/>
      <x:c r="B50" s="2"/>
      <x:c r="C50" s="22" t="str">
        <x:v>ASM-C006</x:v>
      </x:c>
      <x:c r="D50" s="22" t="str">
        <x:v>high</x:v>
      </x:c>
      <x:c r="E50" s="22" t="str">
        <x:v>unvalidated</x:v>
      </x:c>
      <x:c r="F50" s="22" t="str">
        <x:v>Illustrative shared-risk concentration capacity</x:v>
      </x:c>
      <x:c r="G50" s="22" t="str">
        <x:v>assumed</x:v>
      </x:c>
      <x:c r="H50" s="22" t="str">
        <x:v>Portfolio risk</x:v>
      </x:c>
      <x:c r="I50" s="22" t="str">
        <x:v>Assumptions!D34:D35</x:v>
      </x:c>
      <x:c r="J50" s="22" t="str">
        <x:v>Reconcile asset, sector, custody, and route aggregation to current portfolio reports and policy.</x:v>
      </x:c>
      <x:c r="K50" s="22" t="str">
        <x:v>Portfolio composition, aggregation taxonomy, concentration threshold, or proposed exposure changes.</x:v>
      </x:c>
      <x:c r="L50" s="22" t="str">
        <x:v>LIN-07, LIN-08, LIN-09</x:v>
      </x:c>
      <x:c r="M50" s="2"/>
      <x:c r="N50" s="2"/>
    </x:row>
    <x:row r="51" ht="58" hidden="0" customHeight="1">
      <x:c r="A51" s="2"/>
      <x:c r="B51" s="2"/>
      <x:c r="C51" s="22" t="str">
        <x:v>ASM-C007</x:v>
      </x:c>
      <x:c r="D51" s="22" t="str">
        <x:v>critical</x:v>
      </x:c>
      <x:c r="E51" s="22" t="str">
        <x:v>unvalidated</x:v>
      </x:c>
      <x:c r="F51" s="22" t="str">
        <x:v>Ownership, priority, control, custody, and route requirements</x:v>
      </x:c>
      <x:c r="G51" s="22" t="str">
        <x:v>assumed</x:v>
      </x:c>
      <x:c r="H51" s="22" t="str">
        <x:v>Legal, credit, and operations</x:v>
      </x:c>
      <x:c r="I51" s="22" t="str">
        <x:v>Assumptions!D25:D28</x:v>
      </x:c>
      <x:c r="J51" s="22" t="str">
        <x:v>Obtain executed documents, lien search, legal confirmation, custody evidence, and successful route test.</x:v>
      </x:c>
      <x:c r="K51" s="22" t="str">
        <x:v>Any ownership, priority, control, custody, enforceability, or route evidence is missing or adverse.</x:v>
      </x:c>
      <x:c r="L51" s="22" t="str">
        <x:v>LIN-04, LIN-05, LIN-08, LIN-09, LIN-11</x:v>
      </x:c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1" t="str">
        <x:v>Method limit</x:v>
      </x:c>
      <x:c r="D53" s="26" t="str">
        <x:v>Assumption governance documents ownership and challenge requirements. It does not validate an assumption, convert it into a fact, or establish Coinbase policy.</x:v>
      </x:c>
      <x:c r="E53" s="26"/>
      <x:c r="F53" s="26"/>
      <x:c r="G53" s="26"/>
      <x:c r="H53" s="26"/>
      <x:c r="I53" s="26"/>
      <x:c r="J53" s="26"/>
      <x:c r="K53" s="26"/>
      <x:c r="L53" s="26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D45:D51">
    <x:cfRule type="containsText" dxfId="0" priority="1" operator="containsText" text="CRITICAL"/>
  </x:conditionalFormatting>
  <x:conditionalFormatting sqref="E45:E51">
    <x:cfRule type="containsText" dxfId="1" priority="2" operator="containsText" text="UNVALIDATED"/>
  </x:conditionalFormatting>
  <x:dataValidations count="1">
    <x:dataValidation type="list" sqref="D25:D28">
      <x:formula1>"Yes,No,Unknown"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34" hidden="0" customWidth="1"/>
    <x:col min="5" max="5" width="16" hidden="0" customWidth="1"/>
    <x:col min="6" max="6" width="20" hidden="0" customWidth="1"/>
    <x:col min="7" max="7" width="16" hidden="0" customWidth="1"/>
    <x:col min="8" max="8" width="16" hidden="0" customWidth="1"/>
    <x:col min="9" max="9" width="42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MARA public financial facts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Reported figures only; facility and collateral terms are excluded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12" t="str">
        <x:v>Fact ID</x:v>
      </x:c>
      <x:c r="D6" s="13" t="str">
        <x:v>Metric</x:v>
      </x:c>
      <x:c r="E6" s="13" t="str">
        <x:v>Value</x:v>
      </x:c>
      <x:c r="F6" s="13" t="str">
        <x:v>Unit</x:v>
      </x:c>
      <x:c r="G6" s="13" t="str">
        <x:v>Period end</x:v>
      </x:c>
      <x:c r="H6" s="13" t="str">
        <x:v>Source ID</x:v>
      </x:c>
      <x:c r="I6" s="14" t="str">
        <x:v>Availability note</x:v>
      </x:c>
      <x:c r="J6" s="2"/>
      <x:c r="K6" s="2"/>
      <x:c r="L6" s="2"/>
      <x:c r="M6" s="2"/>
      <x:c r="N6" s="2"/>
    </x:row>
    <x:row r="7" ht="15" hidden="0" customHeight="1">
      <x:c r="A7" s="2"/>
      <x:c r="B7" s="2"/>
      <x:c r="C7" s="2" t="str">
        <x:v>FIN-001</x:v>
      </x:c>
      <x:c r="D7" s="2" t="str">
        <x:v>Cash and cash equivalents</x:v>
      </x:c>
      <x:c r="E7" s="27" t="n">
        <x:v>421300000</x:v>
      </x:c>
      <x:c r="F7" s="2" t="str">
        <x:v>USD</x:v>
      </x:c>
      <x:c r="G7" s="30" t="n">
        <x:v>46203</x:v>
      </x:c>
      <x:c r="H7" s="2" t="str">
        <x:v>SRC-001</x:v>
      </x:c>
      <x:c r="I7" s="2" t="str">
        <x:v>Excludes restricted cash</x:v>
      </x:c>
      <x:c r="J7" s="2"/>
      <x:c r="K7" s="2"/>
      <x:c r="L7" s="2"/>
      <x:c r="M7" s="2"/>
      <x:c r="N7" s="2"/>
    </x:row>
    <x:row r="8" ht="15" hidden="0" customHeight="1">
      <x:c r="A8" s="2"/>
      <x:c r="B8" s="2"/>
      <x:c r="C8" s="2" t="str">
        <x:v>FIN-002</x:v>
      </x:c>
      <x:c r="D8" s="2" t="str">
        <x:v>Cash designated for Exaion operations</x:v>
      </x:c>
      <x:c r="E8" s="28" t="n">
        <x:v>0.3</x:v>
      </x:c>
      <x:c r="F8" s="2" t="str">
        <x:v>% of cash</x:v>
      </x:c>
      <x:c r="G8" s="30" t="n">
        <x:v>46203</x:v>
      </x:c>
      <x:c r="H8" s="2" t="str">
        <x:v>SRC-001</x:v>
      </x:c>
      <x:c r="I8" s="2" t="str">
        <x:v>Approximate share; not assumed available</x:v>
      </x:c>
      <x:c r="J8" s="2"/>
      <x:c r="K8" s="2"/>
      <x:c r="L8" s="2"/>
      <x:c r="M8" s="2"/>
      <x:c r="N8" s="2"/>
    </x:row>
    <x:row r="9" ht="15" hidden="0" customHeight="1">
      <x:c r="A9" s="2"/>
      <x:c r="B9" s="2"/>
      <x:c r="C9" s="2" t="str">
        <x:v>FIN-003</x:v>
      </x:c>
      <x:c r="D9" s="2" t="str">
        <x:v>Bitcoin holdings</x:v>
      </x:c>
      <x:c r="E9" s="29" t="n">
        <x:v>35577</x:v>
      </x:c>
      <x:c r="F9" s="2" t="str">
        <x:v>BTC</x:v>
      </x:c>
      <x:c r="G9" s="30" t="n">
        <x:v>46203</x:v>
      </x:c>
      <x:c r="H9" s="2" t="str">
        <x:v>SRC-001</x:v>
      </x:c>
      <x:c r="I9" s="2" t="str">
        <x:v>Reported holdings; not facility collateral</x:v>
      </x:c>
      <x:c r="J9" s="2"/>
      <x:c r="K9" s="2"/>
      <x:c r="L9" s="2"/>
      <x:c r="M9" s="2"/>
      <x:c r="N9" s="2"/>
    </x:row>
    <x:row r="10" ht="15" hidden="0" customHeight="1">
      <x:c r="A10" s="2"/>
      <x:c r="B10" s="2"/>
      <x:c r="C10" s="2" t="str">
        <x:v>FIN-004</x:v>
      </x:c>
      <x:c r="D10" s="2" t="str">
        <x:v>Bitcoin fair value</x:v>
      </x:c>
      <x:c r="E10" s="29" t="n">
        <x:v>2100000000</x:v>
      </x:c>
      <x:c r="F10" s="2" t="str">
        <x:v>USD</x:v>
      </x:c>
      <x:c r="G10" s="30" t="n">
        <x:v>46203</x:v>
      </x:c>
      <x:c r="H10" s="2" t="str">
        <x:v>SRC-001</x:v>
      </x:c>
      <x:c r="I10" s="2" t="str">
        <x:v>At reported $58,524/BTC reference</x:v>
      </x:c>
      <x:c r="J10" s="2"/>
      <x:c r="K10" s="2"/>
      <x:c r="L10" s="2"/>
      <x:c r="M10" s="2"/>
      <x:c r="N10" s="2"/>
    </x:row>
    <x:row r="11" ht="15" hidden="0" customHeight="1">
      <x:c r="A11" s="2"/>
      <x:c r="B11" s="2"/>
      <x:c r="C11" s="2" t="str">
        <x:v>FIN-005</x:v>
      </x:c>
      <x:c r="D11" s="2" t="str">
        <x:v>Bitcoin loaned to third parties</x:v>
      </x:c>
      <x:c r="E11" s="29" t="n">
        <x:v>4742</x:v>
      </x:c>
      <x:c r="F11" s="2" t="str">
        <x:v>BTC</x:v>
      </x:c>
      <x:c r="G11" s="30" t="n">
        <x:v>46203</x:v>
      </x:c>
      <x:c r="H11" s="2" t="str">
        <x:v>SRC-001</x:v>
      </x:c>
      <x:c r="I11" s="2" t="str">
        <x:v>Not treated as unrestricted</x:v>
      </x:c>
      <x:c r="J11" s="2"/>
      <x:c r="K11" s="2"/>
      <x:c r="L11" s="2"/>
      <x:c r="M11" s="2"/>
      <x:c r="N11" s="2"/>
    </x:row>
    <x:row r="12" ht="15" hidden="0" customHeight="1">
      <x:c r="A12" s="2"/>
      <x:c r="B12" s="2"/>
      <x:c r="C12" s="2" t="str">
        <x:v>FIN-006</x:v>
      </x:c>
      <x:c r="D12" s="2" t="str">
        <x:v>Bitcoin pledged as collateral</x:v>
      </x:c>
      <x:c r="E12" s="29" t="n">
        <x:v>4528</x:v>
      </x:c>
      <x:c r="F12" s="2" t="str">
        <x:v>BTC</x:v>
      </x:c>
      <x:c r="G12" s="30" t="n">
        <x:v>46203</x:v>
      </x:c>
      <x:c r="H12" s="2" t="str">
        <x:v>SRC-001</x:v>
      </x:c>
      <x:c r="I12" s="2" t="str">
        <x:v>Not available to this fictional facility</x:v>
      </x:c>
      <x:c r="J12" s="2"/>
      <x:c r="K12" s="2"/>
      <x:c r="L12" s="2"/>
      <x:c r="M12" s="2"/>
      <x:c r="N12" s="2"/>
    </x:row>
    <x:row r="13" ht="15" hidden="0" customHeight="1">
      <x:c r="A13" s="2"/>
      <x:c r="B13" s="2"/>
      <x:c r="C13" s="2" t="str">
        <x:v>FIN-007</x:v>
      </x:c>
      <x:c r="D13" s="2" t="str">
        <x:v>Bitcoin reported unrestricted</x:v>
      </x:c>
      <x:c r="E13" s="29" t="n">
        <x:v>26307</x:v>
      </x:c>
      <x:c r="F13" s="2" t="str">
        <x:v>BTC</x:v>
      </x:c>
      <x:c r="G13" s="30" t="n">
        <x:v>46203</x:v>
      </x:c>
      <x:c r="H13" s="2" t="str">
        <x:v>SRC-001</x:v>
      </x:c>
      <x:c r="I13" s="2" t="str">
        <x:v>Does not prove ownership/control for this facility</x:v>
      </x:c>
      <x:c r="J13" s="2"/>
      <x:c r="K13" s="2"/>
      <x:c r="L13" s="2"/>
      <x:c r="M13" s="2"/>
      <x:c r="N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2"/>
      <x:c r="B16" s="2"/>
      <x:c r="C16" s="12" t="str">
        <x:v>Fact ID</x:v>
      </x:c>
      <x:c r="D16" s="13" t="str">
        <x:v>Metric</x:v>
      </x:c>
      <x:c r="E16" s="13" t="str">
        <x:v>Value</x:v>
      </x:c>
      <x:c r="F16" s="13" t="str">
        <x:v>Unit</x:v>
      </x:c>
      <x:c r="G16" s="13" t="str">
        <x:v>Period end</x:v>
      </x:c>
      <x:c r="H16" s="13" t="str">
        <x:v>Source ID</x:v>
      </x:c>
      <x:c r="I16" s="14" t="str">
        <x:v>Availability note</x:v>
      </x:c>
      <x:c r="J16" s="2"/>
      <x:c r="K16" s="2"/>
      <x:c r="L16" s="2"/>
      <x:c r="M16" s="2"/>
      <x:c r="N16" s="2"/>
    </x:row>
    <x:row r="17" ht="15" hidden="0" customHeight="1">
      <x:c r="A17" s="2"/>
      <x:c r="B17" s="2"/>
      <x:c r="C17" s="2" t="str">
        <x:v>FIN-008</x:v>
      </x:c>
      <x:c r="D17" s="2" t="str">
        <x:v>Debt after note repurchases</x:v>
      </x:c>
      <x:c r="E17" s="27" t="n">
        <x:v>2400000000</x:v>
      </x:c>
      <x:c r="F17" s="2" t="str">
        <x:v>USD</x:v>
      </x:c>
      <x:c r="G17" s="30" t="n">
        <x:v>46203</x:v>
      </x:c>
      <x:c r="H17" s="2" t="str">
        <x:v>SRC-001</x:v>
      </x:c>
      <x:c r="I17" s="2" t="str">
        <x:v>Approximate</x:v>
      </x:c>
      <x:c r="J17" s="2"/>
      <x:c r="K17" s="2"/>
      <x:c r="L17" s="2"/>
      <x:c r="M17" s="2"/>
      <x:c r="N17" s="2"/>
    </x:row>
    <x:row r="18" ht="15" hidden="0" customHeight="1">
      <x:c r="A18" s="2"/>
      <x:c r="B18" s="2"/>
      <x:c r="C18" s="2" t="str">
        <x:v>FIN-009</x:v>
      </x:c>
      <x:c r="D18" s="2" t="str">
        <x:v>Line of credit due within 12 months</x:v>
      </x:c>
      <x:c r="E18" s="27" t="n">
        <x:v>150000000</x:v>
      </x:c>
      <x:c r="F18" s="2" t="str">
        <x:v>USD</x:v>
      </x:c>
      <x:c r="G18" s="30" t="n">
        <x:v>46203</x:v>
      </x:c>
      <x:c r="H18" s="2" t="str">
        <x:v>SRC-001</x:v>
      </x:c>
      <x:c r="I18" s="2" t="str">
        <x:v>Current obligation</x:v>
      </x:c>
      <x:c r="J18" s="2"/>
      <x:c r="K18" s="2"/>
      <x:c r="L18" s="2"/>
      <x:c r="M18" s="2"/>
      <x:c r="N18" s="2"/>
    </x:row>
    <x:row r="19" ht="15" hidden="0" customHeight="1">
      <x:c r="A19" s="2"/>
      <x:c r="B19" s="2"/>
      <x:c r="C19" s="2" t="str">
        <x:v>FIN-010</x:v>
      </x:c>
      <x:c r="D19" s="2" t="str">
        <x:v>December 2026 notes</x:v>
      </x:c>
      <x:c r="E19" s="27" t="n">
        <x:v>48100000</x:v>
      </x:c>
      <x:c r="F19" s="2" t="str">
        <x:v>USD</x:v>
      </x:c>
      <x:c r="G19" s="30" t="n">
        <x:v>46203</x:v>
      </x:c>
      <x:c r="H19" s="2" t="str">
        <x:v>SRC-001</x:v>
      </x:c>
      <x:c r="I19" s="2" t="str">
        <x:v>Current maturity</x:v>
      </x:c>
      <x:c r="J19" s="2"/>
      <x:c r="K19" s="2"/>
      <x:c r="L19" s="2"/>
      <x:c r="M19" s="2"/>
      <x:c r="N19" s="2"/>
    </x:row>
    <x:row r="20" ht="15" hidden="0" customHeight="1">
      <x:c r="A20" s="2"/>
      <x:c r="B20" s="2"/>
      <x:c r="C20" s="2" t="str">
        <x:v>FIN-011</x:v>
      </x:c>
      <x:c r="D20" s="2" t="str">
        <x:v>2025 operating cash used</x:v>
      </x:c>
      <x:c r="E20" s="27" t="n">
        <x:v>-802700000</x:v>
      </x:c>
      <x:c r="F20" s="2" t="str">
        <x:v>USD</x:v>
      </x:c>
      <x:c r="G20" s="30" t="n">
        <x:v>46022</x:v>
      </x:c>
      <x:c r="H20" s="2" t="str">
        <x:v>SRC-002</x:v>
      </x:c>
      <x:c r="I20" s="2" t="str">
        <x:v>Annual audited baseline</x:v>
      </x:c>
      <x:c r="J20" s="2"/>
      <x:c r="K20" s="2"/>
      <x:c r="L20" s="2"/>
      <x:c r="M20" s="2"/>
      <x:c r="N20" s="2"/>
    </x:row>
    <x:row r="21" ht="15" hidden="0" customHeight="1">
      <x:c r="A21" s="2"/>
      <x:c r="B21" s="2"/>
      <x:c r="C21" s="2" t="str">
        <x:v>FIN-012</x:v>
      </x:c>
      <x:c r="D21" s="2" t="str">
        <x:v>June 2031 notes classified current</x:v>
      </x:c>
      <x:c r="E21" s="27" t="n">
        <x:v>291600000</x:v>
      </x:c>
      <x:c r="F21" s="2" t="str">
        <x:v>USD</x:v>
      </x:c>
      <x:c r="G21" s="30" t="n">
        <x:v>46203</x:v>
      </x:c>
      <x:c r="H21" s="2" t="str">
        <x:v>SRC-001</x:v>
      </x:c>
      <x:c r="I21" s="2" t="str">
        <x:v>Holders can require repurchase in June 2027</x:v>
      </x:c>
      <x:c r="J21" s="2"/>
      <x:c r="K21" s="2"/>
      <x:c r="L21" s="2"/>
      <x:c r="M21" s="2"/>
      <x:c r="N21" s="2"/>
    </x:row>
    <x:row r="22" ht="15" hidden="0" customHeight="1">
      <x:c r="A22" s="2"/>
      <x:c r="B22" s="2"/>
      <x:c r="C22" s="2" t="str">
        <x:v>FIN-013</x:v>
      </x:c>
      <x:c r="D22" s="2" t="str">
        <x:v>2025 year-end debt</x:v>
      </x:c>
      <x:c r="E22" s="27" t="n">
        <x:v>3600000000</x:v>
      </x:c>
      <x:c r="F22" s="2" t="str">
        <x:v>USD</x:v>
      </x:c>
      <x:c r="G22" s="30" t="n">
        <x:v>46022</x:v>
      </x:c>
      <x:c r="H22" s="2" t="str">
        <x:v>SRC-002</x:v>
      </x:c>
      <x:c r="I22" s="2" t="str">
        <x:v>Approximate annual baseline</x:v>
      </x:c>
      <x:c r="J22" s="2"/>
      <x:c r="K22" s="2"/>
      <x:c r="L22" s="2"/>
      <x:c r="M22" s="2"/>
      <x:c r="N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12" t="str">
        <x:v>Calculated view</x:v>
      </x:c>
      <x:c r="D25" s="13" t="str">
        <x:v>Formula</x:v>
      </x:c>
      <x:c r="E25" s="13" t="str">
        <x:v>Result</x:v>
      </x:c>
      <x:c r="F25" s="13" t="str">
        <x:v>Unit</x:v>
      </x:c>
      <x:c r="G25" s="14" t="str">
        <x:v>Interpretation</x:v>
      </x:c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 t="str">
        <x:v>Cash after Exaion designation</x:v>
      </x:c>
      <x:c r="D26" s="2" t="str">
        <x:v>Cash × (1 − designation)</x:v>
      </x:c>
      <x:c r="E26" s="27" t="n">
        <x:f>E7*(1-E8)</x:f>
        <x:v>294910000</x:v>
      </x:c>
      <x:c r="F26" s="2" t="str">
        <x:v>USD</x:v>
      </x:c>
      <x:c r="G26" s="2" t="str">
        <x:v>Illustrative availability screen, not unrestricted cash conclusion</x:v>
      </x:c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 t="str">
        <x:v>Near-term debt identified</x:v>
      </x:c>
      <x:c r="D27" s="2" t="str">
        <x:v>LOC + Dec-26 notes</x:v>
      </x:c>
      <x:c r="E27" s="27" t="n">
        <x:f>SUM(E18:E19)</x:f>
        <x:v>198100000</x:v>
      </x:c>
      <x:c r="F27" s="2" t="str">
        <x:v>USD</x:v>
      </x:c>
      <x:c r="G27" s="2" t="str">
        <x:v>Excludes other current debt and operating needs</x:v>
      </x:c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 t="str">
        <x:v>Requested facility / cash</x:v>
      </x:c>
      <x:c r="D28" s="2" t="str">
        <x:v>Request ÷ reported cash</x:v>
      </x:c>
      <x:c r="E28" s="31" t="n">
        <x:f>'Assumptions'!D8/E7</x:f>
        <x:v>0.011868027533823879</x:v>
      </x:c>
      <x:c r="F28" s="2" t="str">
        <x:v>%</x:v>
      </x:c>
      <x:c r="G28" s="2" t="str">
        <x:v>Small size does not cure legal-control gaps</x:v>
      </x:c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 t="str">
        <x:v>Requested facility / debt</x:v>
      </x:c>
      <x:c r="D29" s="2" t="str">
        <x:v>Request ÷ reported debt</x:v>
      </x:c>
      <x:c r="E29" s="31" t="n">
        <x:f>'Assumptions'!D8/E17</x:f>
        <x:v>0.0020833333333333333</x:v>
      </x:c>
      <x:c r="F29" s="2" t="str">
        <x:v>%</x:v>
      </x:c>
      <x:c r="G29" s="2" t="str">
        <x:v>Scale context only</x:v>
      </x:c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36" hidden="0" customHeight="1">
      <x:c r="A31" s="2"/>
      <x:c r="B31" s="2"/>
      <x:c r="C31" s="21" t="str">
        <x:v>Boundary</x:v>
      </x:c>
      <x:c r="D31" s="22" t="str">
        <x:v>These values are selected filing facts, not a complete underwriting file.</x:v>
      </x:c>
      <x:c r="E31" s="22"/>
      <x:c r="F31" s="22"/>
      <x:c r="G31" s="22"/>
      <x:c r="H31" s="22"/>
      <x:c r="I31" s="22"/>
      <x:c r="J31" s="2"/>
      <x:c r="K31" s="2"/>
      <x:c r="L31" s="2"/>
      <x:c r="M31" s="2"/>
      <x:c r="N31" s="2"/>
    </x:row>
    <x:row r="32" ht="36" hidden="0" customHeight="1">
      <x:c r="A32" s="2"/>
      <x:c r="B32" s="2"/>
      <x:c r="C32" s="21" t="str">
        <x:v>Collateral boundary</x:v>
      </x:c>
      <x:c r="D32" s="22" t="str">
        <x:v>MARA's reported bitcoin is not pledged to this hypothetical facility.</x:v>
      </x:c>
      <x:c r="E32" s="22"/>
      <x:c r="F32" s="22"/>
      <x:c r="G32" s="22"/>
      <x:c r="H32" s="22"/>
      <x:c r="I32" s="22"/>
      <x:c r="J32" s="2"/>
      <x:c r="K32" s="2"/>
      <x:c r="L32" s="2"/>
      <x:c r="M32" s="2"/>
      <x:c r="N32" s="2"/>
    </x:row>
    <x:row r="33" ht="24" hidden="0" customHeight="1">
      <x:c r="A33" s="2"/>
      <x:c r="B33" s="2"/>
      <x:c r="C33" s="21" t="str">
        <x:v>Source boundary</x:v>
      </x:c>
      <x:c r="D33" s="22" t="str">
        <x:v>See Sources for URLs, dates, and limitations.</x:v>
      </x:c>
      <x:c r="E33" s="22"/>
      <x:c r="F33" s="22"/>
      <x:c r="G33" s="22"/>
      <x:c r="H33" s="22"/>
      <x:c r="I33" s="2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55A1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0" hidden="0" customWidth="1"/>
    <x:col min="4" max="4" width="48" hidden="0" customWidth="1"/>
    <x:col min="5" max="5" width="20" hidden="0" customWidth="1"/>
    <x:col min="6" max="6" width="16" hidden="0" customWidth="1"/>
    <x:col min="7" max="7" width="4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Public-data liquidity bridge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Static filing screen; not a borrowing-entity cash forecast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23" t="str">
        <x:v>Line ID</x:v>
      </x:c>
      <x:c r="D6" s="24" t="str">
        <x:v>Line item</x:v>
      </x:c>
      <x:c r="E6" s="24" t="str">
        <x:v>Amount</x:v>
      </x:c>
      <x:c r="F6" s="24" t="str">
        <x:v>Source ID</x:v>
      </x:c>
      <x:c r="G6" s="25" t="str">
        <x:v>Evidence class</x:v>
      </x:c>
      <x:c r="H6" s="2"/>
      <x:c r="I6" s="2"/>
      <x:c r="J6" s="2"/>
      <x:c r="K6" s="2"/>
      <x:c r="L6" s="2"/>
      <x:c r="M6" s="2"/>
      <x:c r="N6" s="2"/>
    </x:row>
    <x:row r="7" ht="30" hidden="0" customHeight="1">
      <x:c r="A7" s="2"/>
      <x:c r="B7" s="2"/>
      <x:c r="C7" s="22" t="str">
        <x:v>LIQ-01</x:v>
      </x:c>
      <x:c r="D7" s="22" t="str">
        <x:v>Reported cash and cash equivalents</x:v>
      </x:c>
      <x:c r="E7" s="36" t="n">
        <x:f>'Financials'!E7</x:f>
        <x:v>421300000</x:v>
      </x:c>
      <x:c r="F7" s="22" t="str">
        <x:v>SRC-001</x:v>
      </x:c>
      <x:c r="G7" s="22" t="str">
        <x:v>Reported</x:v>
      </x:c>
      <x:c r="H7" s="2"/>
      <x:c r="I7" s="2"/>
      <x:c r="J7" s="2"/>
      <x:c r="K7" s="2"/>
      <x:c r="L7" s="2"/>
      <x:c r="M7" s="2"/>
      <x:c r="N7" s="2"/>
    </x:row>
    <x:row r="8" ht="30" hidden="0" customHeight="1">
      <x:c r="A8" s="2"/>
      <x:c r="B8" s="2"/>
      <x:c r="C8" s="22" t="str">
        <x:v>LIQ-02</x:v>
      </x:c>
      <x:c r="D8" s="22" t="str">
        <x:v>Less: cash designated for Exaion operations</x:v>
      </x:c>
      <x:c r="E8" s="36" t="n">
        <x:f>-'Financials'!E7*'Financials'!E8</x:f>
        <x:v>-126390000</x:v>
      </x:c>
      <x:c r="F8" s="22" t="str">
        <x:v>SRC-001</x:v>
      </x:c>
      <x:c r="G8" s="22" t="str">
        <x:v>Calculated from reported approximate share</x:v>
      </x:c>
      <x:c r="H8" s="2"/>
      <x:c r="I8" s="2"/>
      <x:c r="J8" s="2"/>
      <x:c r="K8" s="2"/>
      <x:c r="L8" s="2"/>
      <x:c r="M8" s="2"/>
      <x:c r="N8" s="2"/>
    </x:row>
    <x:row r="9" ht="30" hidden="0" customHeight="1">
      <x:c r="A9" s="2"/>
      <x:c r="B9" s="2"/>
      <x:c r="C9" s="37" t="str">
        <x:v>LIQ-03</x:v>
      </x:c>
      <x:c r="D9" s="37" t="str">
        <x:v>Cash after designation screen</x:v>
      </x:c>
      <x:c r="E9" s="38" t="n">
        <x:f>SUM(E7:E8)</x:f>
        <x:v>294910000</x:v>
      </x:c>
      <x:c r="F9" s="37" t="str">
        <x:v>SRC-001</x:v>
      </x:c>
      <x:c r="G9" s="37" t="str">
        <x:v>Calculated</x:v>
      </x:c>
      <x:c r="H9" s="2"/>
      <x:c r="I9" s="2"/>
      <x:c r="J9" s="2"/>
      <x:c r="K9" s="2"/>
      <x:c r="L9" s="2"/>
      <x:c r="M9" s="2"/>
      <x:c r="N9" s="2"/>
    </x:row>
    <x:row r="10" ht="30" hidden="0" customHeight="1">
      <x:c r="A10" s="2"/>
      <x:c r="B10" s="2"/>
      <x:c r="C10" s="22" t="str">
        <x:v>LIQ-04</x:v>
      </x:c>
      <x:c r="D10" s="22" t="str">
        <x:v>Less: line of credit due within 12 months</x:v>
      </x:c>
      <x:c r="E10" s="36" t="n">
        <x:f>-'Financials'!E18</x:f>
        <x:v>-150000000</x:v>
      </x:c>
      <x:c r="F10" s="22" t="str">
        <x:v>SRC-001</x:v>
      </x:c>
      <x:c r="G10" s="22" t="str">
        <x:v>Reported</x:v>
      </x:c>
      <x:c r="H10" s="2"/>
      <x:c r="I10" s="2"/>
      <x:c r="J10" s="2"/>
      <x:c r="K10" s="2"/>
      <x:c r="L10" s="2"/>
      <x:c r="M10" s="2"/>
      <x:c r="N10" s="2"/>
    </x:row>
    <x:row r="11" ht="30" hidden="0" customHeight="1">
      <x:c r="A11" s="2"/>
      <x:c r="B11" s="2"/>
      <x:c r="C11" s="22" t="str">
        <x:v>LIQ-05</x:v>
      </x:c>
      <x:c r="D11" s="22" t="str">
        <x:v>Less: December 2026 notes</x:v>
      </x:c>
      <x:c r="E11" s="36" t="n">
        <x:f>-'Financials'!E19</x:f>
        <x:v>-48100000</x:v>
      </x:c>
      <x:c r="F11" s="22" t="str">
        <x:v>SRC-001</x:v>
      </x:c>
      <x:c r="G11" s="22" t="str">
        <x:v>Reported</x:v>
      </x:c>
      <x:c r="H11" s="2"/>
      <x:c r="I11" s="2"/>
      <x:c r="J11" s="2"/>
      <x:c r="K11" s="2"/>
      <x:c r="L11" s="2"/>
      <x:c r="M11" s="2"/>
      <x:c r="N11" s="2"/>
    </x:row>
    <x:row r="12" ht="30" hidden="0" customHeight="1">
      <x:c r="A12" s="2"/>
      <x:c r="B12" s="2"/>
      <x:c r="C12" s="37" t="str">
        <x:v>LIQ-06</x:v>
      </x:c>
      <x:c r="D12" s="37" t="str">
        <x:v>Residual before potential holder put</x:v>
      </x:c>
      <x:c r="E12" s="38" t="n">
        <x:f>SUM(E9:E11)</x:f>
        <x:v>96810000</x:v>
      </x:c>
      <x:c r="F12" s="37" t="str">
        <x:v>SRC-001</x:v>
      </x:c>
      <x:c r="G12" s="37" t="str">
        <x:v>Calculated</x:v>
      </x:c>
      <x:c r="H12" s="2"/>
      <x:c r="I12" s="2"/>
      <x:c r="J12" s="2"/>
      <x:c r="K12" s="2"/>
      <x:c r="L12" s="2"/>
      <x:c r="M12" s="2"/>
      <x:c r="N12" s="2"/>
    </x:row>
    <x:row r="13" ht="30" hidden="0" customHeight="1">
      <x:c r="A13" s="2"/>
      <x:c r="B13" s="2"/>
      <x:c r="C13" s="22" t="str">
        <x:v>LIQ-07</x:v>
      </x:c>
      <x:c r="D13" s="22" t="str">
        <x:v>Less: June 2031 notes classified current for June 2027 put</x:v>
      </x:c>
      <x:c r="E13" s="36" t="n">
        <x:f>-'Financials'!E21</x:f>
        <x:v>-291600000</x:v>
      </x:c>
      <x:c r="F13" s="22" t="str">
        <x:v>SRC-001</x:v>
      </x:c>
      <x:c r="G13" s="22" t="str">
        <x:v>Reported potential obligation</x:v>
      </x:c>
      <x:c r="H13" s="2"/>
      <x:c r="I13" s="2"/>
      <x:c r="J13" s="2"/>
      <x:c r="K13" s="2"/>
      <x:c r="L13" s="2"/>
      <x:c r="M13" s="2"/>
      <x:c r="N13" s="2"/>
    </x:row>
    <x:row r="14" ht="30" hidden="0" customHeight="1">
      <x:c r="A14" s="2"/>
      <x:c r="B14" s="2"/>
      <x:c r="C14" s="39" t="str">
        <x:v>LIQ-08</x:v>
      </x:c>
      <x:c r="D14" s="39" t="str">
        <x:v>Residual after potential holder put</x:v>
      </x:c>
      <x:c r="E14" s="40" t="n">
        <x:f>SUM(E12:E13)</x:f>
        <x:v>-194790000</x:v>
      </x:c>
      <x:c r="F14" s="39" t="str">
        <x:v>SRC-001</x:v>
      </x:c>
      <x:c r="G14" s="39" t="str">
        <x:v>Calculated sensitivity</x:v>
      </x:c>
      <x:c r="H14" s="2"/>
      <x:c r="I14" s="2"/>
      <x:c r="J14" s="2"/>
      <x:c r="K14" s="2"/>
      <x:c r="L14" s="2"/>
      <x:c r="M14" s="2"/>
      <x:c r="N14" s="2"/>
    </x:row>
    <x:row r="15" ht="30" hidden="0" customHeight="1">
      <x:c r="A15" s="2"/>
      <x:c r="B15" s="2"/>
      <x:c r="C15" s="22" t="str">
        <x:v>LIQ-09</x:v>
      </x:c>
      <x:c r="D15" s="22" t="str">
        <x:v>2025 operating cash used</x:v>
      </x:c>
      <x:c r="E15" s="36" t="n">
        <x:f>'Financials'!E20</x:f>
        <x:v>-802700000</x:v>
      </x:c>
      <x:c r="F15" s="22" t="str">
        <x:v>SRC-002</x:v>
      </x:c>
      <x:c r="G15" s="22" t="str">
        <x:v>Reported historical reference</x:v>
      </x:c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48" hidden="0" customHeight="1">
      <x:c r="A18" s="2"/>
      <x:c r="B18" s="2"/>
      <x:c r="C18" s="21" t="str">
        <x:v>Interpretation</x:v>
      </x:c>
      <x:c r="D18" s="22" t="str">
        <x:v>The screen leaves $96.81 million before the potential holder put and negative $194.79 million after it.</x:v>
      </x:c>
      <x:c r="E18" s="22"/>
      <x:c r="F18" s="22"/>
      <x:c r="G18" s="22"/>
      <x:c r="H18" s="2"/>
      <x:c r="I18" s="2"/>
      <x:c r="J18" s="2"/>
      <x:c r="K18" s="2"/>
      <x:c r="L18" s="2"/>
      <x:c r="M18" s="2"/>
      <x:c r="N18" s="2"/>
    </x:row>
    <x:row r="19" ht="36" hidden="0" customHeight="1">
      <x:c r="A19" s="2"/>
      <x:c r="B19" s="2"/>
      <x:c r="C19" s="21" t="str">
        <x:v>Holder-put boundary</x:v>
      </x:c>
      <x:c r="D19" s="22" t="str">
        <x:v>The June 2027 put is a sensitivity, not an assertion that holders will exercise it.</x:v>
      </x:c>
      <x:c r="E19" s="22"/>
      <x:c r="F19" s="22"/>
      <x:c r="G19" s="22"/>
      <x:c r="H19" s="2"/>
      <x:c r="I19" s="2"/>
      <x:c r="J19" s="2"/>
      <x:c r="K19" s="2"/>
      <x:c r="L19" s="2"/>
      <x:c r="M19" s="2"/>
      <x:c r="N19" s="2"/>
    </x:row>
    <x:row r="20" ht="60" hidden="0" customHeight="1">
      <x:c r="A20" s="2"/>
      <x:c r="B20" s="2"/>
      <x:c r="C20" s="21" t="str">
        <x:v>Method limit</x:v>
      </x:c>
      <x:c r="D20" s="22" t="str">
        <x:v>Excludes cash inflows, operating needs, capex, taxes, entity restrictions beyond the stated designation, and unlisted obligations.</x:v>
      </x:c>
      <x:c r="E20" s="22"/>
      <x:c r="F20" s="22"/>
      <x:c r="G20" s="2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E14:E14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14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44" hidden="0" customWidth="1"/>
    <x:col min="10" max="10" width="44" hidden="0" customWidth="1"/>
    <x:col min="11" max="11" width="44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Illustrative obligor rating bridge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Assumed ordinal judgment — not statistically calibrated and not Coinbase policy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23" t="str">
        <x:v>Factor ID</x:v>
      </x:c>
      <x:c r="D6" s="24" t="str">
        <x:v>Factor</x:v>
      </x:c>
      <x:c r="E6" s="24" t="str">
        <x:v>Weight</x:v>
      </x:c>
      <x:c r="F6" s="24" t="str">
        <x:v>Score</x:v>
      </x:c>
      <x:c r="G6" s="24" t="str">
        <x:v>Contribution</x:v>
      </x:c>
      <x:c r="H6" s="24" t="str">
        <x:v>Evidence</x:v>
      </x:c>
      <x:c r="I6" s="24" t="str">
        <x:v>Rationale</x:v>
      </x:c>
      <x:c r="J6" s="24" t="str">
        <x:v>What improves it</x:v>
      </x:c>
      <x:c r="K6" s="25" t="str">
        <x:v>Deterioration trigger</x:v>
      </x:c>
      <x:c r="L6" s="2"/>
      <x:c r="M6" s="2"/>
      <x:c r="N6" s="2"/>
    </x:row>
    <x:row r="7" ht="58" hidden="0" customHeight="1">
      <x:c r="A7" s="2"/>
      <x:c r="B7" s="2"/>
      <x:c r="C7" s="22" t="str">
        <x:v>RAT-01</x:v>
      </x:c>
      <x:c r="D7" s="22" t="str">
        <x:v>Liquidity scale</x:v>
      </x:c>
      <x:c r="E7" s="43" t="n">
        <x:v>0.25</x:v>
      </x:c>
      <x:c r="F7" s="44" t="n">
        <x:v>1</x:v>
      </x:c>
      <x:c r="G7" s="45" t="n">
        <x:f>E7*F7</x:f>
        <x:v>0.25</x:v>
      </x:c>
      <x:c r="H7" s="22" t="str">
        <x:v>SRC-001</x:v>
      </x:c>
      <x:c r="I7" s="22" t="str">
        <x:v>Cash is large relative to the request, subject to availability limits.</x:v>
      </x:c>
      <x:c r="J7" s="22" t="str">
        <x:v>Entity cash map confirms unrestricted repayment liquidity.</x:v>
      </x:c>
      <x:c r="K7" s="22" t="str">
        <x:v>Available entity liquidity is materially below headline cash.</x:v>
      </x:c>
      <x:c r="L7" s="2"/>
      <x:c r="M7" s="2"/>
      <x:c r="N7" s="2"/>
    </x:row>
    <x:row r="8" ht="58" hidden="0" customHeight="1">
      <x:c r="A8" s="2"/>
      <x:c r="B8" s="2"/>
      <x:c r="C8" s="22" t="str">
        <x:v>RAT-02</x:v>
      </x:c>
      <x:c r="D8" s="22" t="str">
        <x:v>Leverage and maturities</x:v>
      </x:c>
      <x:c r="E8" s="43" t="n">
        <x:v>0.25</x:v>
      </x:c>
      <x:c r="F8" s="44" t="n">
        <x:v>4</x:v>
      </x:c>
      <x:c r="G8" s="45" t="n">
        <x:f>E8*F8</x:f>
        <x:v>1</x:v>
      </x:c>
      <x:c r="H8" s="22" t="str">
        <x:v>SRC-001; SRC-002</x:v>
      </x:c>
      <x:c r="I8" s="22" t="str">
        <x:v>Debt is substantial with identified near-term obligations.</x:v>
      </x:c>
      <x:c r="J8" s="22" t="str">
        <x:v>Debt schedule shows durable maturity headroom.</x:v>
      </x:c>
      <x:c r="K8" s="22" t="str">
        <x:v>Near-term maturities or refinancing needs increase materially.</x:v>
      </x:c>
      <x:c r="L8" s="2"/>
      <x:c r="M8" s="2"/>
      <x:c r="N8" s="2"/>
    </x:row>
    <x:row r="9" ht="58" hidden="0" customHeight="1">
      <x:c r="A9" s="2"/>
      <x:c r="B9" s="2"/>
      <x:c r="C9" s="22" t="str">
        <x:v>RAT-03</x:v>
      </x:c>
      <x:c r="D9" s="22" t="str">
        <x:v>Operating cash generation</x:v>
      </x:c>
      <x:c r="E9" s="43" t="n">
        <x:v>0.2</x:v>
      </x:c>
      <x:c r="F9" s="44" t="n">
        <x:v>4</x:v>
      </x:c>
      <x:c r="G9" s="45" t="n">
        <x:f>E9*F9</x:f>
        <x:v>0.8</x:v>
      </x:c>
      <x:c r="H9" s="22" t="str">
        <x:v>SRC-002</x:v>
      </x:c>
      <x:c r="I9" s="22" t="str">
        <x:v>The 2025 filing reported significant operating cash use.</x:v>
      </x:c>
      <x:c r="J9" s="22" t="str">
        <x:v>Forecast and actuals show sustained positive cash generation.</x:v>
      </x:c>
      <x:c r="K9" s="22" t="str">
        <x:v>Operating cash use persists or worsens.</x:v>
      </x:c>
      <x:c r="L9" s="2"/>
      <x:c r="M9" s="2"/>
      <x:c r="N9" s="2"/>
    </x:row>
    <x:row r="10" ht="58" hidden="0" customHeight="1">
      <x:c r="A10" s="2"/>
      <x:c r="B10" s="2"/>
      <x:c r="C10" s="22" t="str">
        <x:v>RAT-04</x:v>
      </x:c>
      <x:c r="D10" s="22" t="str">
        <x:v>Asset volatility and concentration</x:v>
      </x:c>
      <x:c r="E10" s="43" t="n">
        <x:v>0.15</x:v>
      </x:c>
      <x:c r="F10" s="44" t="n">
        <x:v>3</x:v>
      </x:c>
      <x:c r="G10" s="45" t="n">
        <x:f>E10*F10</x:f>
        <x:v>0.44999999999999996</x:v>
      </x:c>
      <x:c r="H10" s="22" t="str">
        <x:v>SRC-001</x:v>
      </x:c>
      <x:c r="I10" s="22" t="str">
        <x:v>Headline liquidity includes material bitcoin exposure.</x:v>
      </x:c>
      <x:c r="J10" s="22" t="str">
        <x:v>Repayment no longer depends on bitcoin value.</x:v>
      </x:c>
      <x:c r="K10" s="22" t="str">
        <x:v>Bitcoin stress and issuer liquidity weaken together.</x:v>
      </x:c>
      <x:c r="L10" s="2"/>
      <x:c r="M10" s="2"/>
      <x:c r="N10" s="2"/>
    </x:row>
    <x:row r="11" ht="58" hidden="0" customHeight="1">
      <x:c r="A11" s="2"/>
      <x:c r="B11" s="2"/>
      <x:c r="C11" s="22" t="str">
        <x:v>RAT-05</x:v>
      </x:c>
      <x:c r="D11" s="22" t="str">
        <x:v>Private diligence completeness</x:v>
      </x:c>
      <x:c r="E11" s="43" t="n">
        <x:v>0.15</x:v>
      </x:c>
      <x:c r="F11" s="44" t="n">
        <x:v>4</x:v>
      </x:c>
      <x:c r="G11" s="45" t="n">
        <x:f>E11*F11</x:f>
        <x:v>0.6</x:v>
      </x:c>
      <x:c r="H11" s="22" t="str">
        <x:v>ASM-C001; ASM-C004</x:v>
      </x:c>
      <x:c r="I11" s="22" t="str">
        <x:v>Forecast, entity cash map, and complete debt schedule are unavailable.</x:v>
      </x:c>
      <x:c r="J11" s="22" t="str">
        <x:v>All repayment diligence reconciles without material exception.</x:v>
      </x:c>
      <x:c r="K11" s="22" t="str">
        <x:v>Private diligence contradicts assumptions or remains unavailable.</x:v>
      </x:c>
      <x:c r="L11" s="2"/>
      <x:c r="M11" s="2"/>
      <x:c r="N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15" hidden="0" customHeight="1">
      <x:c r="A14" s="2"/>
      <x:c r="B14" s="2"/>
      <x:c r="C14" s="12" t="str">
        <x:v>Rating result</x:v>
      </x:c>
      <x:c r="D14" s="14" t="str">
        <x:v>Value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15" hidden="0" customHeight="1">
      <x:c r="A15" s="2"/>
      <x:c r="B15" s="2"/>
      <x:c r="C15" s="2" t="str">
        <x:v>Weighted score</x:v>
      </x:c>
      <x:c r="D15" s="42" t="n">
        <x:f>SUM(G7:G11)</x:f>
        <x:v>3.1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2"/>
      <x:c r="B16" s="2"/>
      <x:c r="C16" s="2" t="str">
        <x:v>Illustrative rating</x:v>
      </x:c>
      <x:c r="D16" s="2" t="str">
        <x:f>IF(D15&lt;1.5,"1 / Strong",IF(D15&lt;2.5,"2 / Satisfactory",IF(D15&lt;3.5,"3 / Watchful",IF(D15&lt;4.5,"4 / Weak","5 / Critical"))))</x:f>
        <x:v>3 / Watchful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48" hidden="0" customHeight="1">
      <x:c r="A19" s="2"/>
      <x:c r="B19" s="2"/>
      <x:c r="C19" s="21" t="str">
        <x:v>Boundary</x:v>
      </x:c>
      <x:c r="D19" s="22" t="str">
        <x:v>The bridge is ordinal and judgmental; it does not imply PD, expected loss, or Coinbase policy.</x:v>
      </x:c>
      <x:c r="E19" s="22"/>
      <x:c r="F19" s="22"/>
      <x:c r="G19" s="22"/>
      <x:c r="H19" s="22"/>
      <x:c r="I19" s="22"/>
      <x:c r="J19" s="22"/>
      <x:c r="K19" s="22"/>
      <x:c r="L19" s="2"/>
      <x:c r="M19" s="2"/>
      <x:c r="N19" s="2"/>
    </x:row>
    <x:row r="20" ht="24" hidden="0" customHeight="1">
      <x:c r="A20" s="2"/>
      <x:c r="B20" s="2"/>
      <x:c r="C20" s="21" t="str">
        <x:v>Interpretation</x:v>
      </x:c>
      <x:c r="D20" s="22" t="str">
        <x:v>Higher scores indicate weaker credit quality.</x:v>
      </x:c>
      <x:c r="E20" s="22"/>
      <x:c r="F20" s="22"/>
      <x:c r="G20" s="22"/>
      <x:c r="H20" s="22"/>
      <x:c r="I20" s="22"/>
      <x:c r="J20" s="22"/>
      <x:c r="K20" s="22"/>
      <x:c r="L20" s="2"/>
      <x:c r="M20" s="2"/>
      <x:c r="N20" s="2"/>
    </x:row>
    <x:row r="21" ht="48" hidden="0" customHeight="1">
      <x:c r="A21" s="2"/>
      <x:c r="B21" s="2"/>
      <x:c r="C21" s="21" t="str">
        <x:v>Evidence rule</x:v>
      </x:c>
      <x:c r="D21" s="22" t="str">
        <x:v>Change a score only when the cited evidence or declared private diligence supports the change.</x:v>
      </x:c>
      <x:c r="E21" s="22"/>
      <x:c r="F21" s="22"/>
      <x:c r="G21" s="22"/>
      <x:c r="H21" s="22"/>
      <x:c r="I21" s="22"/>
      <x:c r="J21" s="22"/>
      <x:c r="K21" s="22"/>
      <x:c r="L21" s="2"/>
      <x:c r="M21" s="2"/>
      <x:c r="N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dataValidations count="1">
    <x:dataValidation type="list" sqref="F7:F11">
      <x:formula1>"1,2,3,4,5"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22" hidden="0" customWidth="1"/>
    <x:col min="5" max="5" width="16" hidden="0" customWidth="1"/>
    <x:col min="6" max="6" width="20" hidden="0" customWidth="1"/>
    <x:col min="7" max="7" width="22" hidden="0" customWidth="1"/>
    <x:col min="8" max="8" width="22" hidden="0" customWidth="1"/>
    <x:col min="9" max="9" width="22" hidden="0" customWidth="1"/>
    <x:col min="10" max="10" width="24" hidden="0" customWidth="1"/>
    <x:col min="11" max="11" width="24" hidden="0" customWidth="1"/>
    <x:col min="12" max="12" width="24" hidden="0" customWidth="1"/>
    <x:col min="13" max="13" width="16" hidden="0" customWidth="1"/>
    <x:col min="14" max="14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Collateral proceeds and eligibility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Case MARA-CR-001 | fictional USDC on Base; simulated conditions precedent are not real-world evidence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8" t="str">
        <x:v>Base waterfall</x:v>
      </x:c>
      <x:c r="D6" s="9" t="str"/>
      <x:c r="E6" s="9" t="str"/>
      <x:c r="F6" s="9" t="str"/>
      <x:c r="G6" s="9" t="str"/>
      <x:c r="H6" s="10" t="str"/>
      <x:c r="I6" s="2"/>
      <x:c r="J6" s="2"/>
      <x:c r="K6" s="2"/>
      <x:c r="L6" s="2"/>
      <x:c r="M6" s="2"/>
      <x:c r="N6" s="2"/>
    </x:row>
    <x:row r="7" ht="15" hidden="0" customHeight="1">
      <x:c r="A7" s="2"/>
      <x:c r="B7" s="2"/>
      <x:c r="C7" s="12" t="str">
        <x:v>Step</x:v>
      </x:c>
      <x:c r="D7" s="13" t="str">
        <x:v>Value</x:v>
      </x:c>
      <x:c r="E7" s="13" t="str">
        <x:v>Unit</x:v>
      </x:c>
      <x:c r="F7" s="14" t="str">
        <x:v>Status</x:v>
      </x:c>
      <x:c r="G7" s="2"/>
      <x:c r="H7" s="2"/>
      <x:c r="I7" s="2"/>
      <x:c r="J7" s="2"/>
      <x:c r="K7" s="2"/>
      <x:c r="L7" s="2"/>
      <x:c r="M7" s="2"/>
      <x:c r="N7" s="2"/>
    </x:row>
    <x:row r="8" ht="15" hidden="0" customHeight="1">
      <x:c r="A8" s="2"/>
      <x:c r="B8" s="2"/>
      <x:c r="C8" s="2" t="str">
        <x:v>Fictional USDC quantity</x:v>
      </x:c>
      <x:c r="D8" s="47" t="n">
        <x:f>'Assumptions'!D18</x:f>
        <x:v>4000000</x:v>
      </x:c>
      <x:c r="E8" s="2" t="str">
        <x:v>USDC</x:v>
      </x:c>
      <x:c r="F8" s="2" t="str">
        <x:v>Input link</x:v>
      </x:c>
      <x:c r="G8" s="2"/>
      <x:c r="H8" s="2"/>
      <x:c r="I8" s="2"/>
      <x:c r="J8" s="2"/>
      <x:c r="K8" s="2"/>
      <x:c r="L8" s="2"/>
      <x:c r="M8" s="2"/>
      <x:c r="N8" s="2"/>
    </x:row>
    <x:row r="9" ht="15" hidden="0" customHeight="1">
      <x:c r="A9" s="2"/>
      <x:c r="B9" s="2"/>
      <x:c r="C9" s="2" t="str">
        <x:v>Reference USDC price</x:v>
      </x:c>
      <x:c r="D9" s="32" t="n">
        <x:f>'Assumptions'!D19</x:f>
        <x:v>1</x:v>
      </x:c>
      <x:c r="E9" s="2" t="str">
        <x:v>USD/USDC</x:v>
      </x:c>
      <x:c r="F9" s="2" t="str">
        <x:v>Input link</x:v>
      </x:c>
      <x:c r="G9" s="2"/>
      <x:c r="H9" s="2"/>
      <x:c r="I9" s="2"/>
      <x:c r="J9" s="2"/>
      <x:c r="K9" s="2"/>
      <x:c r="L9" s="2"/>
      <x:c r="M9" s="2"/>
      <x:c r="N9" s="2"/>
    </x:row>
    <x:row r="10" ht="15" hidden="0" customHeight="1">
      <x:c r="A10" s="2"/>
      <x:c r="B10" s="2"/>
      <x:c r="C10" s="2" t="str">
        <x:v>Stressed USDC price</x:v>
      </x:c>
      <x:c r="D10" s="27" t="n">
        <x:f>D9*(1-'Assumptions'!D20)</x:f>
        <x:v>0.98</x:v>
      </x:c>
      <x:c r="E10" s="2" t="str">
        <x:v>USD/USDC</x:v>
      </x:c>
      <x:c r="F10" s="2" t="str">
        <x:v>Calculated</x:v>
      </x:c>
      <x:c r="G10" s="2"/>
      <x:c r="H10" s="2"/>
      <x:c r="I10" s="2"/>
      <x:c r="J10" s="2"/>
      <x:c r="K10" s="2"/>
      <x:c r="L10" s="2"/>
      <x:c r="M10" s="2"/>
      <x:c r="N10" s="2"/>
    </x:row>
    <x:row r="11" ht="15" hidden="0" customHeight="1">
      <x:c r="A11" s="2"/>
      <x:c r="B11" s="2"/>
      <x:c r="C11" s="2" t="str">
        <x:v>Gross stressed value</x:v>
      </x:c>
      <x:c r="D11" s="27" t="n">
        <x:f>D8*D10</x:f>
        <x:v>3920000</x:v>
      </x:c>
      <x:c r="E11" s="2" t="str">
        <x:v>USD</x:v>
      </x:c>
      <x:c r="F11" s="2" t="str">
        <x:v>Calculated</x:v>
      </x:c>
      <x:c r="G11" s="2"/>
      <x:c r="H11" s="2"/>
      <x:c r="I11" s="2"/>
      <x:c r="J11" s="2"/>
      <x:c r="K11" s="2"/>
      <x:c r="L11" s="2"/>
      <x:c r="M11" s="2"/>
      <x:c r="N11" s="2"/>
    </x:row>
    <x:row r="12" ht="15" hidden="0" customHeight="1">
      <x:c r="A12" s="2"/>
      <x:c r="B12" s="2"/>
      <x:c r="C12" s="2" t="str">
        <x:v>Execution cost</x:v>
      </x:c>
      <x:c r="D12" s="27" t="n">
        <x:f>D11*'Assumptions'!D21</x:f>
        <x:v>19600</x:v>
      </x:c>
      <x:c r="E12" s="2" t="str">
        <x:v>USD</x:v>
      </x:c>
      <x:c r="F12" s="2" t="str">
        <x:v>Calculated</x:v>
      </x:c>
      <x:c r="G12" s="2"/>
      <x:c r="H12" s="2"/>
      <x:c r="I12" s="2"/>
      <x:c r="J12" s="2"/>
      <x:c r="K12" s="2"/>
      <x:c r="L12" s="2"/>
      <x:c r="M12" s="2"/>
      <x:c r="N12" s="2"/>
    </x:row>
    <x:row r="13" ht="15" hidden="0" customHeight="1">
      <x:c r="A13" s="2"/>
      <x:c r="B13" s="2"/>
      <x:c r="C13" s="2" t="str">
        <x:v>Delay cost (2 hours × 12.5 bps)</x:v>
      </x:c>
      <x:c r="D13" s="27" t="n">
        <x:f>D11*'Assumptions'!D22*'Assumptions'!D23</x:f>
        <x:v>9800</x:v>
      </x:c>
      <x:c r="E13" s="2" t="str">
        <x:v>USD</x:v>
      </x:c>
      <x:c r="F13" s="2" t="str">
        <x:v>Calculated</x:v>
      </x:c>
      <x:c r="G13" s="2"/>
      <x:c r="H13" s="2"/>
      <x:c r="I13" s="2"/>
      <x:c r="J13" s="2"/>
      <x:c r="K13" s="2"/>
      <x:c r="L13" s="2"/>
      <x:c r="M13" s="2"/>
      <x:c r="N13" s="2"/>
    </x:row>
    <x:row r="14" ht="15" hidden="0" customHeight="1">
      <x:c r="A14" s="2"/>
      <x:c r="B14" s="2"/>
      <x:c r="C14" s="2" t="str">
        <x:v>Fixed cost</x:v>
      </x:c>
      <x:c r="D14" s="32" t="n">
        <x:f>'Assumptions'!D24</x:f>
        <x:v>20000</x:v>
      </x:c>
      <x:c r="E14" s="2" t="str">
        <x:v>USD</x:v>
      </x:c>
      <x:c r="F14" s="2" t="str">
        <x:v>Input link</x:v>
      </x:c>
      <x:c r="G14" s="2"/>
      <x:c r="H14" s="2"/>
      <x:c r="I14" s="2"/>
      <x:c r="J14" s="2"/>
      <x:c r="K14" s="2"/>
      <x:c r="L14" s="2"/>
      <x:c r="M14" s="2"/>
      <x:c r="N14" s="2"/>
    </x:row>
    <x:row r="15" ht="15" hidden="0" customHeight="1">
      <x:c r="A15" s="2"/>
      <x:c r="B15" s="2"/>
      <x:c r="C15" s="2" t="str">
        <x:v>Available proceeds before legal gate</x:v>
      </x:c>
      <x:c r="D15" s="27" t="n">
        <x:f>MAX(0,D11-D12-D13-D14)</x:f>
        <x:v>3870600</x:v>
      </x:c>
      <x:c r="E15" s="2" t="str">
        <x:v>USD</x:v>
      </x:c>
      <x:c r="F15" s="2" t="str">
        <x:v>Calculated</x:v>
      </x:c>
      <x:c r="G15" s="2"/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2"/>
      <x:c r="B16" s="2"/>
      <x:c r="C16" s="2" t="str">
        <x:v>Ownership evidence complete?</x:v>
      </x:c>
      <x:c r="D16" s="46" t="str">
        <x:f>'Assumptions'!D25</x:f>
        <x:v>Yes</x:v>
      </x:c>
      <x:c r="E16" s="2" t="str">
        <x:v>status</x:v>
      </x:c>
      <x:c r="F16" s="2" t="str">
        <x:v>Input link</x:v>
      </x:c>
      <x:c r="G16" s="2"/>
      <x:c r="H16" s="2"/>
      <x:c r="I16" s="2"/>
      <x:c r="J16" s="2"/>
      <x:c r="K16" s="2"/>
      <x:c r="L16" s="2"/>
      <x:c r="M16" s="2"/>
      <x:c r="N16" s="2"/>
    </x:row>
    <x:row r="17" ht="15" hidden="0" customHeight="1">
      <x:c r="A17" s="2"/>
      <x:c r="B17" s="2"/>
      <x:c r="C17" s="2" t="str">
        <x:v>Legal control available?</x:v>
      </x:c>
      <x:c r="D17" s="46" t="str">
        <x:f>'Assumptions'!D26</x:f>
        <x:v>Yes</x:v>
      </x:c>
      <x:c r="E17" s="2" t="str">
        <x:v>status</x:v>
      </x:c>
      <x:c r="F17" s="2" t="str">
        <x:v>Input link</x:v>
      </x:c>
      <x:c r="G17" s="2"/>
      <x:c r="H17" s="2"/>
      <x:c r="I17" s="2"/>
      <x:c r="J17" s="2"/>
      <x:c r="K17" s="2"/>
      <x:c r="L17" s="2"/>
      <x:c r="M17" s="2"/>
      <x:c r="N17" s="2"/>
    </x:row>
    <x:row r="18" ht="15" hidden="0" customHeight="1">
      <x:c r="A18" s="2"/>
      <x:c r="B18" s="2"/>
      <x:c r="C18" s="2" t="str">
        <x:v>Prior lien cleared?</x:v>
      </x:c>
      <x:c r="D18" s="46" t="str">
        <x:f>'Assumptions'!D27</x:f>
        <x:v>Yes</x:v>
      </x:c>
      <x:c r="E18" s="2" t="str">
        <x:v>status</x:v>
      </x:c>
      <x:c r="F18" s="2" t="str">
        <x:v>Input link</x:v>
      </x:c>
      <x:c r="G18" s="2"/>
      <x:c r="H18" s="2"/>
      <x:c r="I18" s="2"/>
      <x:c r="J18" s="2"/>
      <x:c r="K18" s="2"/>
      <x:c r="L18" s="2"/>
      <x:c r="M18" s="2"/>
      <x:c r="N18" s="2"/>
    </x:row>
    <x:row r="19" ht="15" hidden="0" customHeight="1">
      <x:c r="A19" s="2"/>
      <x:c r="B19" s="2"/>
      <x:c r="C19" s="2" t="str">
        <x:v>Approved custody route?</x:v>
      </x:c>
      <x:c r="D19" s="46" t="str">
        <x:f>'Assumptions'!D28</x:f>
        <x:v>Yes</x:v>
      </x:c>
      <x:c r="E19" s="2" t="str">
        <x:v>status</x:v>
      </x:c>
      <x:c r="F19" s="2" t="str">
        <x:v>Input link</x:v>
      </x:c>
      <x:c r="G19" s="2"/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2"/>
      <x:c r="B20" s="2"/>
      <x:c r="C20" s="2" t="str">
        <x:v>Hard blocker</x:v>
      </x:c>
      <x:c r="D20" s="2" t="str">
        <x:f>IF(OR(D16&lt;&gt;"Yes",D17&lt;&gt;"Yes",D18&lt;&gt;"Yes",D19&lt;&gt;"Yes"),"YES","NO")</x:f>
        <x:v>NO</x:v>
      </x:c>
      <x:c r="E20" s="2" t="str">
        <x:v>status</x:v>
      </x:c>
      <x:c r="F20" s="2" t="str">
        <x:v>Calculated</x:v>
      </x:c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2"/>
      <x:c r="B21" s="2"/>
      <x:c r="C21" s="2" t="str">
        <x:v>Eligible proceeds</x:v>
      </x:c>
      <x:c r="D21" s="27" t="n">
        <x:f>IF(D20="YES",0,D15)</x:f>
        <x:v>3870600</x:v>
      </x:c>
      <x:c r="E21" s="2" t="str">
        <x:v>USD</x:v>
      </x:c>
      <x:c r="F21" s="2" t="str">
        <x:v>Calculated</x:v>
      </x:c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12" t="str">
        <x:v>Decision measure</x:v>
      </x:c>
      <x:c r="D24" s="13" t="str">
        <x:v>Value</x:v>
      </x:c>
      <x:c r="E24" s="13" t="str">
        <x:v>Unit</x:v>
      </x:c>
      <x:c r="F24" s="14" t="str">
        <x:v>Formula note</x:v>
      </x:c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 t="str">
        <x:v>Required coverage ratio</x:v>
      </x:c>
      <x:c r="D25" s="46" t="n">
        <x:f>'Assumptions'!D12</x:f>
        <x:v>1.25</x:v>
      </x:c>
      <x:c r="E25" s="2" t="str">
        <x:v>x</x:v>
      </x:c>
      <x:c r="F25" s="2" t="str">
        <x:v>Assumption link</x:v>
      </x:c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 t="str">
        <x:v>Collateral cap</x:v>
      </x:c>
      <x:c r="D26" s="27" t="n">
        <x:f>MAX(0,D21/D25-'Assumptions'!D10)</x:f>
        <x:v>3046480</x:v>
      </x:c>
      <x:c r="E26" s="2" t="str">
        <x:v>USD</x:v>
      </x:c>
      <x:c r="F26" s="2" t="str">
        <x:v>Eligible proceeds ÷ coverage − accrued</x:v>
      </x:c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 t="str">
        <x:v>Exposure incl. accrued</x:v>
      </x:c>
      <x:c r="D27" s="32" t="n">
        <x:f>'Assumptions'!D9+'Assumptions'!D10</x:f>
        <x:v>5050000</x:v>
      </x:c>
      <x:c r="E27" s="2" t="str">
        <x:v>USD</x:v>
      </x:c>
      <x:c r="F27" s="2" t="str">
        <x:v>Funded + accrued</x:v>
      </x:c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 t="str">
        <x:v>Shortfall</x:v>
      </x:c>
      <x:c r="D28" s="27" t="n">
        <x:f>MAX(0,D27-D21)</x:f>
        <x:v>1179400</x:v>
      </x:c>
      <x:c r="E28" s="2" t="str">
        <x:v>USD</x:v>
      </x:c>
      <x:c r="F28" s="2" t="str">
        <x:v>Max(0, exposure − eligible proceeds)</x:v>
      </x:c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72" hidden="0" customHeight="1">
      <x:c r="A31" s="2"/>
      <x:c r="B31" s="2"/>
      <x:c r="C31" s="21" t="str">
        <x:v>Interpretation</x:v>
      </x:c>
      <x:c r="D31" s="22" t="str">
        <x:v>Base-case ownership, priority, legal control, and route approval are simulated conditions precedent—not evidenced facts. Unknown or failed status sets proceeds to zero.</x:v>
      </x:c>
      <x:c r="E31" s="22"/>
      <x:c r="F31" s="22"/>
      <x:c r="G31" s="22"/>
      <x:c r="H31" s="22"/>
      <x:c r="I31" s="2"/>
      <x:c r="J31" s="2"/>
      <x:c r="K31" s="2"/>
      <x:c r="L31" s="2"/>
      <x:c r="M31" s="2"/>
      <x:c r="N31" s="2"/>
    </x:row>
    <x:row r="32" ht="48" hidden="0" customHeight="1">
      <x:c r="A32" s="2"/>
      <x:c r="B32" s="2"/>
      <x:c r="C32" s="21" t="str">
        <x:v>Base note</x:v>
      </x:c>
      <x:c r="D32" s="22" t="str">
        <x:v>Chain state and protocol finality do not establish custody, enforceability, liquidation, withdrawal, or bank settlement.</x:v>
      </x:c>
      <x:c r="E32" s="22"/>
      <x:c r="F32" s="22"/>
      <x:c r="G32" s="22"/>
      <x:c r="H32" s="22"/>
      <x:c r="I32" s="2"/>
      <x:c r="J32" s="2"/>
      <x:c r="K32" s="2"/>
      <x:c r="L32" s="2"/>
      <x:c r="M32" s="2"/>
      <x:c r="N32" s="2"/>
    </x:row>
    <x:row r="33" ht="48" hidden="0" customHeight="1">
      <x:c r="A33" s="2"/>
      <x:c r="B33" s="2"/>
      <x:c r="C33" s="21" t="str">
        <x:v>Reversal evidence</x:v>
      </x:c>
      <x:c r="D33" s="22" t="str">
        <x:v>Verified ownership, first-priority lien, enforceable control agreement, and approved tested repayment route.</x:v>
      </x:c>
      <x:c r="E33" s="22"/>
      <x:c r="F33" s="22"/>
      <x:c r="G33" s="22"/>
      <x:c r="H33" s="2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8" t="str">
        <x:v>Coverage covenant call ladder</x:v>
      </x:c>
      <x:c r="D36" s="9" t="str"/>
      <x:c r="E36" s="9" t="str"/>
      <x:c r="F36" s="9" t="str"/>
      <x:c r="G36" s="9" t="str"/>
      <x:c r="H36" s="9" t="str"/>
      <x:c r="I36" s="9" t="str"/>
      <x:c r="J36" s="9" t="str"/>
      <x:c r="K36" s="9" t="str"/>
      <x:c r="L36" s="10" t="str"/>
      <x:c r="M36" s="2"/>
      <x:c r="N36" s="2"/>
    </x:row>
    <x:row r="37" ht="30" hidden="0" customHeight="1">
      <x:c r="A37" s="2"/>
      <x:c r="B37" s="2"/>
      <x:c r="C37" s="23" t="str">
        <x:v>Price stress</x:v>
      </x:c>
      <x:c r="D37" s="24" t="str">
        <x:v>Available proceeds</x:v>
      </x:c>
      <x:c r="E37" s="24" t="str">
        <x:v>Coverage</x:v>
      </x:c>
      <x:c r="F37" s="24" t="str">
        <x:v>Status</x:v>
      </x:c>
      <x:c r="G37" s="24" t="str">
        <x:v>Required proceeds</x:v>
      </x:c>
      <x:c r="H37" s="24" t="str">
        <x:v>Covenant headroom</x:v>
      </x:c>
      <x:c r="I37" s="24" t="str">
        <x:v>Top-up required</x:v>
      </x:c>
      <x:c r="J37" s="24" t="str">
        <x:v>Repayment required</x:v>
      </x:c>
      <x:c r="K37" s="24" t="str">
        <x:v>Max compliant commitment</x:v>
      </x:c>
      <x:c r="L37" s="25" t="str">
        <x:v>Rounded commitment</x:v>
      </x:c>
      <x:c r="M37" s="2"/>
      <x:c r="N37" s="2"/>
    </x:row>
    <x:row r="38" ht="15" hidden="0" customHeight="1">
      <x:c r="A38" s="2"/>
      <x:c r="B38" s="2"/>
      <x:c r="C38" s="71" t="n">
        <x:v>0.02</x:v>
      </x:c>
      <x:c r="D38" s="70" t="n">
        <x:f>MAX(0,'Assumptions'!$D$18*'Assumptions'!$D$19*(1-C38)*(1-'Assumptions'!$D$21-'Assumptions'!$D$22*'Assumptions'!$D$23)-'Assumptions'!$D$24)</x:f>
        <x:v>3870600</x:v>
      </x:c>
      <x:c r="E38" s="68" t="n">
        <x:f>D38/('Summary'!$D$14+'Assumptions'!$D$10)</x:f>
        <x:v>1.269049180327869</x:v>
      </x:c>
      <x:c r="F38" s="22" t="str">
        <x:f>IF(E38&gt;='Assumptions'!$D$12,"PASS","CALL REQUIRED")</x:f>
        <x:v>PASS</x:v>
      </x:c>
      <x:c r="G38" s="70" t="n">
        <x:f>('Summary'!$D$14+'Assumptions'!$D$10)*'Assumptions'!$D$12</x:f>
        <x:v>3812500</x:v>
      </x:c>
      <x:c r="H38" s="70" t="n">
        <x:f>D38-G38</x:f>
        <x:v>58100</x:v>
      </x:c>
      <x:c r="I38" s="70" t="n">
        <x:f>MAX(0,(G38+'Assumptions'!$D$24)/('Assumptions'!$D$19*(1-C38)*(1-'Assumptions'!$D$21-'Assumptions'!$D$22*'Assumptions'!$D$23))-'Assumptions'!$D$18)</x:f>
        <x:v>0</x:v>
      </x:c>
      <x:c r="J38" s="70" t="n">
        <x:f>MAX(0,'Summary'!$D$14+'Assumptions'!$D$10-D38/'Assumptions'!$D$12)</x:f>
        <x:v>0</x:v>
      </x:c>
      <x:c r="K38" s="70" t="n">
        <x:f>MAX(0,D38/'Assumptions'!$D$12-'Assumptions'!$D$10)</x:f>
        <x:v>3046480</x:v>
      </x:c>
      <x:c r="L38" s="70" t="n">
        <x:f>FLOOR(K38,'Assumptions'!$D$14)</x:f>
        <x:v>3000000</x:v>
      </x:c>
      <x:c r="M38" s="2"/>
      <x:c r="N38" s="2"/>
    </x:row>
    <x:row r="39" ht="15" hidden="0" customHeight="1">
      <x:c r="A39" s="2"/>
      <x:c r="B39" s="2"/>
      <x:c r="C39" s="71" t="n">
        <x:v>0.05</x:v>
      </x:c>
      <x:c r="D39" s="70" t="n">
        <x:f>MAX(0,'Assumptions'!$D$18*'Assumptions'!$D$19*(1-C39)*(1-'Assumptions'!$D$21-'Assumptions'!$D$22*'Assumptions'!$D$23)-'Assumptions'!$D$24)</x:f>
        <x:v>3751500</x:v>
      </x:c>
      <x:c r="E39" s="68" t="n">
        <x:f>D39/('Summary'!$D$14+'Assumptions'!$D$10)</x:f>
        <x:v>1.23</x:v>
      </x:c>
      <x:c r="F39" s="22" t="str">
        <x:f>IF(E39&gt;='Assumptions'!$D$12,"PASS","CALL REQUIRED")</x:f>
        <x:v>CALL REQUIRED</x:v>
      </x:c>
      <x:c r="G39" s="70" t="n">
        <x:f>('Summary'!$D$14+'Assumptions'!$D$10)*'Assumptions'!$D$12</x:f>
        <x:v>3812500</x:v>
      </x:c>
      <x:c r="H39" s="70" t="n">
        <x:f>D39-G39</x:f>
        <x:v>-61000</x:v>
      </x:c>
      <x:c r="I39" s="70" t="n">
        <x:f>MAX(0,(G39+'Assumptions'!$D$24)/('Assumptions'!$D$19*(1-C39)*(1-'Assumptions'!$D$21-'Assumptions'!$D$22*'Assumptions'!$D$23))-'Assumptions'!$D$18)</x:f>
        <x:v>64695.74439878017</x:v>
      </x:c>
      <x:c r="J39" s="70" t="n">
        <x:f>MAX(0,'Summary'!$D$14+'Assumptions'!$D$10-D39/'Assumptions'!$D$12)</x:f>
        <x:v>48800</x:v>
      </x:c>
      <x:c r="K39" s="70" t="n">
        <x:f>MAX(0,D39/'Assumptions'!$D$12-'Assumptions'!$D$10)</x:f>
        <x:v>2951200</x:v>
      </x:c>
      <x:c r="L39" s="70" t="n">
        <x:f>FLOOR(K39,'Assumptions'!$D$14)</x:f>
        <x:v>2900000</x:v>
      </x:c>
      <x:c r="M39" s="2"/>
      <x:c r="N39" s="2"/>
    </x:row>
    <x:row r="40" ht="15" hidden="0" customHeight="1">
      <x:c r="A40" s="2"/>
      <x:c r="B40" s="2"/>
      <x:c r="C40" s="71" t="n">
        <x:v>0.1</x:v>
      </x:c>
      <x:c r="D40" s="70" t="n">
        <x:f>MAX(0,'Assumptions'!$D$18*'Assumptions'!$D$19*(1-C40)*(1-'Assumptions'!$D$21-'Assumptions'!$D$22*'Assumptions'!$D$23)-'Assumptions'!$D$24)</x:f>
        <x:v>3553000</x:v>
      </x:c>
      <x:c r="E40" s="68" t="n">
        <x:f>D40/('Summary'!$D$14+'Assumptions'!$D$10)</x:f>
        <x:v>1.1649180327868853</x:v>
      </x:c>
      <x:c r="F40" s="22" t="str">
        <x:f>IF(E40&gt;='Assumptions'!$D$12,"PASS","CALL REQUIRED")</x:f>
        <x:v>CALL REQUIRED</x:v>
      </x:c>
      <x:c r="G40" s="70" t="n">
        <x:f>('Summary'!$D$14+'Assumptions'!$D$10)*'Assumptions'!$D$12</x:f>
        <x:v>3812500</x:v>
      </x:c>
      <x:c r="H40" s="70" t="n">
        <x:f>D40-G40</x:f>
        <x:v>-259500</x:v>
      </x:c>
      <x:c r="I40" s="70" t="n">
        <x:f>MAX(0,(G40+'Assumptions'!$D$24)/('Assumptions'!$D$19*(1-C40)*(1-'Assumptions'!$D$21-'Assumptions'!$D$22*'Assumptions'!$D$23))-'Assumptions'!$D$18)</x:f>
        <x:v>290512.1746431561</x:v>
      </x:c>
      <x:c r="J40" s="70" t="n">
        <x:f>MAX(0,'Summary'!$D$14+'Assumptions'!$D$10-D40/'Assumptions'!$D$12)</x:f>
        <x:v>207600</x:v>
      </x:c>
      <x:c r="K40" s="70" t="n">
        <x:f>MAX(0,D40/'Assumptions'!$D$12-'Assumptions'!$D$10)</x:f>
        <x:v>2792400</x:v>
      </x:c>
      <x:c r="L40" s="70" t="n">
        <x:f>FLOOR(K40,'Assumptions'!$D$14)</x:f>
        <x:v>2700000</x:v>
      </x:c>
      <x:c r="M40" s="2"/>
      <x:c r="N40" s="2"/>
    </x:row>
    <x:row r="41" ht="15" hidden="0" customHeight="1">
      <x:c r="A41" s="2"/>
      <x:c r="B41" s="2"/>
      <x:c r="C41" s="71" t="n">
        <x:v>0.2</x:v>
      </x:c>
      <x:c r="D41" s="70" t="n">
        <x:f>MAX(0,'Assumptions'!$D$18*'Assumptions'!$D$19*(1-C41)*(1-'Assumptions'!$D$21-'Assumptions'!$D$22*'Assumptions'!$D$23)-'Assumptions'!$D$24)</x:f>
        <x:v>3156000</x:v>
      </x:c>
      <x:c r="E41" s="68" t="n">
        <x:f>D41/('Summary'!$D$14+'Assumptions'!$D$10)</x:f>
        <x:v>1.0347540983606558</x:v>
      </x:c>
      <x:c r="F41" s="22" t="str">
        <x:f>IF(E41&gt;='Assumptions'!$D$12,"PASS","CALL REQUIRED")</x:f>
        <x:v>CALL REQUIRED</x:v>
      </x:c>
      <x:c r="G41" s="70" t="n">
        <x:f>('Summary'!$D$14+'Assumptions'!$D$10)*'Assumptions'!$D$12</x:f>
        <x:v>3812500</x:v>
      </x:c>
      <x:c r="H41" s="70" t="n">
        <x:f>D41-G41</x:f>
        <x:v>-656500</x:v>
      </x:c>
      <x:c r="I41" s="70" t="n">
        <x:f>MAX(0,(G41+'Assumptions'!$D$24)/('Assumptions'!$D$19*(1-C41)*(1-'Assumptions'!$D$21-'Assumptions'!$D$22*'Assumptions'!$D$23))-'Assumptions'!$D$18)</x:f>
        <x:v>826826.196473551</x:v>
      </x:c>
      <x:c r="J41" s="70" t="n">
        <x:f>MAX(0,'Summary'!$D$14+'Assumptions'!$D$10-D41/'Assumptions'!$D$12)</x:f>
        <x:v>525200</x:v>
      </x:c>
      <x:c r="K41" s="70" t="n">
        <x:f>MAX(0,D41/'Assumptions'!$D$12-'Assumptions'!$D$10)</x:f>
        <x:v>2474800</x:v>
      </x:c>
      <x:c r="L41" s="70" t="n">
        <x:f>FLOOR(K41,'Assumptions'!$D$14)</x:f>
        <x:v>2400000</x:v>
      </x:c>
      <x:c r="M41" s="2"/>
      <x:c r="N41" s="2"/>
    </x:row>
    <x:row r="42" ht="15" hidden="0" customHeight="1">
      <x:c r="A42" s="2"/>
      <x:c r="B42" s="2"/>
      <x:c r="C42" s="71" t="n">
        <x:v>0.3</x:v>
      </x:c>
      <x:c r="D42" s="70" t="n">
        <x:f>MAX(0,'Assumptions'!$D$18*'Assumptions'!$D$19*(1-C42)*(1-'Assumptions'!$D$21-'Assumptions'!$D$22*'Assumptions'!$D$23)-'Assumptions'!$D$24)</x:f>
        <x:v>2759000</x:v>
      </x:c>
      <x:c r="E42" s="68" t="n">
        <x:f>D42/('Summary'!$D$14+'Assumptions'!$D$10)</x:f>
        <x:v>0.9045901639344263</x:v>
      </x:c>
      <x:c r="F42" s="22" t="str">
        <x:f>IF(E42&gt;='Assumptions'!$D$12,"PASS","CALL REQUIRED")</x:f>
        <x:v>CALL REQUIRED</x:v>
      </x:c>
      <x:c r="G42" s="70" t="n">
        <x:f>('Summary'!$D$14+'Assumptions'!$D$10)*'Assumptions'!$D$12</x:f>
        <x:v>3812500</x:v>
      </x:c>
      <x:c r="H42" s="70" t="n">
        <x:f>D42-G42</x:f>
        <x:v>-1053500</x:v>
      </x:c>
      <x:c r="I42" s="70" t="n">
        <x:f>MAX(0,(G42+'Assumptions'!$D$24)/('Assumptions'!$D$19*(1-C42)*(1-'Assumptions'!$D$21-'Assumptions'!$D$22*'Assumptions'!$D$23))-'Assumptions'!$D$18)</x:f>
        <x:v>1516372.795969773</x:v>
      </x:c>
      <x:c r="J42" s="70" t="n">
        <x:f>MAX(0,'Summary'!$D$14+'Assumptions'!$D$10-D42/'Assumptions'!$D$12)</x:f>
        <x:v>842800</x:v>
      </x:c>
      <x:c r="K42" s="70" t="n">
        <x:f>MAX(0,D42/'Assumptions'!$D$12-'Assumptions'!$D$10)</x:f>
        <x:v>2157200</x:v>
      </x:c>
      <x:c r="L42" s="70" t="n">
        <x:f>FLOOR(K42,'Assumptions'!$D$14)</x:f>
        <x:v>2100000</x:v>
      </x:c>
      <x:c r="M42" s="2"/>
      <x:c r="N42" s="2"/>
    </x:row>
    <x:row r="43" ht="15" hidden="0" customHeight="1">
      <x:c r="A43" s="2"/>
      <x:c r="B43" s="2"/>
      <x:c r="C43" s="71" t="n">
        <x:v>0.4</x:v>
      </x:c>
      <x:c r="D43" s="70" t="n">
        <x:f>MAX(0,'Assumptions'!$D$18*'Assumptions'!$D$19*(1-C43)*(1-'Assumptions'!$D$21-'Assumptions'!$D$22*'Assumptions'!$D$23)-'Assumptions'!$D$24)</x:f>
        <x:v>2362000</x:v>
      </x:c>
      <x:c r="E43" s="68" t="n">
        <x:f>D43/('Summary'!$D$14+'Assumptions'!$D$10)</x:f>
        <x:v>0.7744262295081967</x:v>
      </x:c>
      <x:c r="F43" s="22" t="str">
        <x:f>IF(E43&gt;='Assumptions'!$D$12,"PASS","CALL REQUIRED")</x:f>
        <x:v>CALL REQUIRED</x:v>
      </x:c>
      <x:c r="G43" s="70" t="n">
        <x:f>('Summary'!$D$14+'Assumptions'!$D$10)*'Assumptions'!$D$12</x:f>
        <x:v>3812500</x:v>
      </x:c>
      <x:c r="H43" s="70" t="n">
        <x:f>D43-G43</x:f>
        <x:v>-1450500</x:v>
      </x:c>
      <x:c r="I43" s="70" t="n">
        <x:f>MAX(0,(G43+'Assumptions'!$D$24)/('Assumptions'!$D$19*(1-C43)*(1-'Assumptions'!$D$21-'Assumptions'!$D$22*'Assumptions'!$D$23))-'Assumptions'!$D$18)</x:f>
        <x:v>2435768.2619647356</x:v>
      </x:c>
      <x:c r="J43" s="70" t="n">
        <x:f>MAX(0,'Summary'!$D$14+'Assumptions'!$D$10-D43/'Assumptions'!$D$12)</x:f>
        <x:v>1160400</x:v>
      </x:c>
      <x:c r="K43" s="70" t="n">
        <x:f>MAX(0,D43/'Assumptions'!$D$12-'Assumptions'!$D$10)</x:f>
        <x:v>1839600</x:v>
      </x:c>
      <x:c r="L43" s="70" t="n">
        <x:f>FLOOR(K43,'Assumptions'!$D$14)</x:f>
        <x:v>1800000</x:v>
      </x:c>
      <x:c r="M43" s="2"/>
      <x:c r="N43" s="2"/>
    </x:row>
    <x:row r="44" ht="15" hidden="0" customHeight="1">
      <x:c r="A44" s="2"/>
      <x:c r="B44" s="2"/>
      <x:c r="C44" s="71" t="n">
        <x:v>0.5</x:v>
      </x:c>
      <x:c r="D44" s="70" t="n">
        <x:f>MAX(0,'Assumptions'!$D$18*'Assumptions'!$D$19*(1-C44)*(1-'Assumptions'!$D$21-'Assumptions'!$D$22*'Assumptions'!$D$23)-'Assumptions'!$D$24)</x:f>
        <x:v>1965000</x:v>
      </x:c>
      <x:c r="E44" s="68" t="n">
        <x:f>D44/('Summary'!$D$14+'Assumptions'!$D$10)</x:f>
        <x:v>0.6442622950819672</x:v>
      </x:c>
      <x:c r="F44" s="22" t="str">
        <x:f>IF(E44&gt;='Assumptions'!$D$12,"PASS","CALL REQUIRED")</x:f>
        <x:v>CALL REQUIRED</x:v>
      </x:c>
      <x:c r="G44" s="70" t="n">
        <x:f>('Summary'!$D$14+'Assumptions'!$D$10)*'Assumptions'!$D$12</x:f>
        <x:v>3812500</x:v>
      </x:c>
      <x:c r="H44" s="70" t="n">
        <x:f>D44-G44</x:f>
        <x:v>-1847500</x:v>
      </x:c>
      <x:c r="I44" s="70" t="n">
        <x:f>MAX(0,(G44+'Assumptions'!$D$24)/('Assumptions'!$D$19*(1-C44)*(1-'Assumptions'!$D$21-'Assumptions'!$D$22*'Assumptions'!$D$23))-'Assumptions'!$D$18)</x:f>
        <x:v>3722921.9143576827</x:v>
      </x:c>
      <x:c r="J44" s="70" t="n">
        <x:f>MAX(0,'Summary'!$D$14+'Assumptions'!$D$10-D44/'Assumptions'!$D$12)</x:f>
        <x:v>1478000</x:v>
      </x:c>
      <x:c r="K44" s="70" t="n">
        <x:f>MAX(0,D44/'Assumptions'!$D$12-'Assumptions'!$D$10)</x:f>
        <x:v>1522000</x:v>
      </x:c>
      <x:c r="L44" s="70" t="n">
        <x:f>FLOOR(K44,'Assumptions'!$D$14)</x:f>
        <x:v>1500000</x:v>
      </x:c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1" t="str">
        <x:v>Exact modeled breach stress</x:v>
      </x:c>
      <x:c r="D46" s="28" t="n">
        <x:v>0.034635</x:v>
      </x:c>
      <x:c r="E46" s="49" t="str">
        <x:v>First grid call</x:v>
      </x:c>
      <x:c r="F46" s="28" t="n">
        <x:v>0.05</x:v>
      </x:c>
      <x:c r="G46" s="2" t="str"/>
      <x:c r="H46" s="2" t="str"/>
      <x:c r="I46" s="2" t="str"/>
      <x:c r="J46" s="2" t="str"/>
      <x:c r="K46" s="2" t="str"/>
      <x:c r="L46" s="2" t="str"/>
      <x:c r="M46" s="2"/>
      <x:c r="N46" s="2"/>
    </x:row>
    <x:row r="47" ht="72" hidden="0" customHeight="1">
      <x:c r="A47" s="2"/>
      <x:c r="B47" s="2"/>
      <x:c r="C47" s="2" t="str">
        <x:v>Method limit</x:v>
      </x:c>
      <x:c r="D47" s="22" t="str">
        <x:v>Illustrative collateral sensitivity only. It is not an executed margin agreement, a liquidation instruction, or Coinbase policy. Top-up and repayment amounts assume the declared costs, immediate cure, unchanged legal eligibility, and no market impact beyond the modeled stress.</x:v>
      </x:c>
      <x:c r="E47" s="22" t="str"/>
      <x:c r="F47" s="22" t="str"/>
      <x:c r="G47" s="22" t="str"/>
      <x:c r="H47" s="22" t="str"/>
      <x:c r="I47" s="22" t="str"/>
      <x:c r="J47" s="22" t="str"/>
      <x:c r="K47" s="22" t="str"/>
      <x:c r="L47" s="22" t="str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F38:F44">
    <x:cfRule type="containsText" dxfId="3" priority="1" operator="containsText" text="CAL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22" hidden="0" customWidth="1"/>
    <x:col min="5" max="5" width="16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Illustrative portfolio concentration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All exposures and policy limits are fictional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12" t="str">
        <x:v>Exposure</x:v>
      </x:c>
      <x:c r="D6" s="13" t="str">
        <x:v>Current funded</x:v>
      </x:c>
      <x:c r="E6" s="13" t="str">
        <x:v>Potential</x:v>
      </x:c>
      <x:c r="F6" s="13" t="str">
        <x:v>Sector</x:v>
      </x:c>
      <x:c r="G6" s="13" t="str">
        <x:v>Collateral</x:v>
      </x:c>
      <x:c r="H6" s="13" t="str">
        <x:v>Custody route</x:v>
      </x:c>
      <x:c r="I6" s="13" t="str">
        <x:v>Bank route</x:v>
      </x:c>
      <x:c r="J6" s="14" t="str">
        <x:v>Evidence class</x:v>
      </x:c>
      <x:c r="K6" s="2"/>
      <x:c r="L6" s="2"/>
      <x:c r="M6" s="2"/>
      <x:c r="N6" s="2"/>
    </x:row>
    <x:row r="7" ht="15" hidden="0" customHeight="1">
      <x:c r="A7" s="2"/>
      <x:c r="B7" s="2"/>
      <x:c r="C7" s="2" t="str">
        <x:v>Fictional Miner A</x:v>
      </x:c>
      <x:c r="D7" s="17" t="n">
        <x:v>3500000</x:v>
      </x:c>
      <x:c r="E7" s="17" t="n">
        <x:v>1000000</x:v>
      </x:c>
      <x:c r="F7" s="2" t="str">
        <x:v>Digital mining</x:v>
      </x:c>
      <x:c r="G7" s="2" t="str">
        <x:v>USDC</x:v>
      </x:c>
      <x:c r="H7" s="2" t="str">
        <x:v>Route A</x:v>
      </x:c>
      <x:c r="I7" s="2" t="str">
        <x:v>Bank X</x:v>
      </x:c>
      <x:c r="J7" s="2" t="str">
        <x:v>Simulated</x:v>
      </x:c>
      <x:c r="K7" s="2"/>
      <x:c r="L7" s="2"/>
      <x:c r="M7" s="2"/>
      <x:c r="N7" s="2"/>
    </x:row>
    <x:row r="8" ht="15" hidden="0" customHeight="1">
      <x:c r="A8" s="2"/>
      <x:c r="B8" s="2"/>
      <x:c r="C8" s="2" t="str">
        <x:v>Fictional Exchange B</x:v>
      </x:c>
      <x:c r="D8" s="17" t="n">
        <x:v>2000000</x:v>
      </x:c>
      <x:c r="E8" s="17" t="n">
        <x:v>1500000</x:v>
      </x:c>
      <x:c r="F8" s="2" t="str">
        <x:v>Digital assets</x:v>
      </x:c>
      <x:c r="G8" s="2" t="str">
        <x:v>USDC</x:v>
      </x:c>
      <x:c r="H8" s="2" t="str">
        <x:v>Route B</x:v>
      </x:c>
      <x:c r="I8" s="2" t="str">
        <x:v>Bank Y</x:v>
      </x:c>
      <x:c r="J8" s="2" t="str">
        <x:v>Simulated</x:v>
      </x:c>
      <x:c r="K8" s="2"/>
      <x:c r="L8" s="2"/>
      <x:c r="M8" s="2"/>
      <x:c r="N8" s="2"/>
    </x:row>
    <x:row r="9" ht="15" hidden="0" customHeight="1">
      <x:c r="A9" s="2"/>
      <x:c r="B9" s="2"/>
      <x:c r="C9" s="2" t="str">
        <x:v>Proposed MARA case</x:v>
      </x:c>
      <x:c r="D9" s="32" t="n">
        <x:f>'Assumptions'!D9</x:f>
        <x:v>5000000</x:v>
      </x:c>
      <x:c r="E9" s="32" t="n">
        <x:f>'Assumptions'!D8-'Assumptions'!D9</x:f>
        <x:v>0</x:v>
      </x:c>
      <x:c r="F9" s="2" t="str">
        <x:v>Digital mining</x:v>
      </x:c>
      <x:c r="G9" s="2" t="str">
        <x:v>USDC</x:v>
      </x:c>
      <x:c r="H9" s="2" t="str">
        <x:v>Route A</x:v>
      </x:c>
      <x:c r="I9" s="2" t="str">
        <x:v>Bank X</x:v>
      </x:c>
      <x:c r="J9" s="2" t="str">
        <x:v>Hypothetical</x:v>
      </x:c>
      <x:c r="K9" s="2"/>
      <x:c r="L9" s="2"/>
      <x:c r="M9" s="2"/>
      <x:c r="N9" s="2"/>
    </x:row>
    <x:row r="10" ht="15" hidden="0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15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15" hidden="0" customHeight="1">
      <x:c r="A12" s="2"/>
      <x:c r="B12" s="2"/>
      <x:c r="C12" s="8" t="str">
        <x:v>Four-cap inputs</x:v>
      </x:c>
      <x:c r="D12" s="9" t="str"/>
      <x:c r="E12" s="9" t="str"/>
      <x:c r="F12" s="9" t="str"/>
      <x:c r="G12" s="9" t="str"/>
      <x:c r="H12" s="10" t="str"/>
      <x:c r="I12" s="2"/>
      <x:c r="J12" s="2"/>
      <x:c r="K12" s="2"/>
      <x:c r="L12" s="2"/>
      <x:c r="M12" s="2"/>
      <x:c r="N12" s="2"/>
    </x:row>
    <x:row r="13" ht="15" hidden="0" customHeight="1">
      <x:c r="A13" s="2"/>
      <x:c r="B13" s="2"/>
      <x:c r="C13" s="12" t="str">
        <x:v>Cap</x:v>
      </x:c>
      <x:c r="D13" s="13" t="str">
        <x:v>Limit</x:v>
      </x:c>
      <x:c r="E13" s="13" t="str">
        <x:v>Existing use</x:v>
      </x:c>
      <x:c r="F13" s="14" t="str">
        <x:v>Remaining capacity</x:v>
      </x:c>
      <x:c r="G13" s="2"/>
      <x:c r="H13" s="2"/>
      <x:c r="I13" s="2"/>
      <x:c r="J13" s="2"/>
      <x:c r="K13" s="2"/>
      <x:c r="L13" s="2"/>
      <x:c r="M13" s="2"/>
      <x:c r="N13" s="2"/>
    </x:row>
    <x:row r="14" ht="15" hidden="0" customHeight="1">
      <x:c r="A14" s="2"/>
      <x:c r="B14" s="2"/>
      <x:c r="C14" s="2" t="str">
        <x:v>Obligor</x:v>
      </x:c>
      <x:c r="D14" s="32" t="n">
        <x:f>'Assumptions'!D13</x:f>
        <x:v>7500000</x:v>
      </x:c>
      <x:c r="E14" s="27" t="n">
        <x:v>0</x:v>
      </x:c>
      <x:c r="F14" s="27" t="n">
        <x:f>MAX(0,D14-E14)</x:f>
        <x:v>7500000</x:v>
      </x:c>
      <x:c r="G14" s="2"/>
      <x:c r="H14" s="2"/>
      <x:c r="I14" s="2"/>
      <x:c r="J14" s="2"/>
      <x:c r="K14" s="2"/>
      <x:c r="L14" s="2"/>
      <x:c r="M14" s="2"/>
      <x:c r="N14" s="2"/>
    </x:row>
    <x:row r="15" ht="15" hidden="0" customHeight="1">
      <x:c r="A15" s="2"/>
      <x:c r="B15" s="2"/>
      <x:c r="C15" s="2" t="str">
        <x:v>Collateral</x:v>
      </x:c>
      <x:c r="D15" s="32" t="n">
        <x:f>'Collateral'!D26</x:f>
        <x:v>3046480</x:v>
      </x:c>
      <x:c r="E15" s="27" t="n">
        <x:v>0</x:v>
      </x:c>
      <x:c r="F15" s="27" t="n">
        <x:f>MAX(0,D15-E15)</x:f>
        <x:v>3046480</x:v>
      </x:c>
      <x:c r="G15" s="2"/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2"/>
      <x:c r="B16" s="2"/>
      <x:c r="C16" s="2" t="str">
        <x:v>Single-name</x:v>
      </x:c>
      <x:c r="D16" s="32" t="n">
        <x:f>'Assumptions'!D32</x:f>
        <x:v>6000000</x:v>
      </x:c>
      <x:c r="E16" s="27" t="n">
        <x:v>0</x:v>
      </x:c>
      <x:c r="F16" s="27" t="n">
        <x:f>MAX(0,D16-E16)</x:f>
        <x:v>6000000</x:v>
      </x:c>
      <x:c r="G16" s="2"/>
      <x:c r="H16" s="2"/>
      <x:c r="I16" s="2"/>
      <x:c r="J16" s="2"/>
      <x:c r="K16" s="2"/>
      <x:c r="L16" s="2"/>
      <x:c r="M16" s="2"/>
      <x:c r="N16" s="2"/>
    </x:row>
    <x:row r="17" ht="15" hidden="0" customHeight="1">
      <x:c r="A17" s="2"/>
      <x:c r="B17" s="2"/>
      <x:c r="C17" s="2" t="str">
        <x:v>Digital-mining sector</x:v>
      </x:c>
      <x:c r="D17" s="32" t="n">
        <x:f>'Assumptions'!D33</x:f>
        <x:v>8500000</x:v>
      </x:c>
      <x:c r="E17" s="27" t="n">
        <x:v>4500000</x:v>
      </x:c>
      <x:c r="F17" s="27" t="n">
        <x:f>MAX(0,D17-E17)</x:f>
        <x:v>4000000</x:v>
      </x:c>
      <x:c r="G17" s="2"/>
      <x:c r="H17" s="2"/>
      <x:c r="I17" s="2"/>
      <x:c r="J17" s="2"/>
      <x:c r="K17" s="2"/>
      <x:c r="L17" s="2"/>
      <x:c r="M17" s="2"/>
      <x:c r="N17" s="2"/>
    </x:row>
    <x:row r="18" ht="15" hidden="0" customHeight="1">
      <x:c r="A18" s="2"/>
      <x:c r="B18" s="2"/>
      <x:c r="C18" s="2" t="str">
        <x:v>Shared custody route</x:v>
      </x:c>
      <x:c r="D18" s="32" t="n">
        <x:f>'Assumptions'!D35</x:f>
        <x:v>10000000</x:v>
      </x:c>
      <x:c r="E18" s="27" t="n">
        <x:v>3500000</x:v>
      </x:c>
      <x:c r="F18" s="27" t="n">
        <x:f>MAX(0,D18-E18)</x:f>
        <x:v>6500000</x:v>
      </x:c>
      <x:c r="G18" s="2"/>
      <x:c r="H18" s="2"/>
      <x:c r="I18" s="2"/>
      <x:c r="J18" s="2"/>
      <x:c r="K18" s="2"/>
      <x:c r="L18" s="2"/>
      <x:c r="M18" s="2"/>
      <x:c r="N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2"/>
      <x:c r="B21" s="2"/>
      <x:c r="C21" s="12" t="str">
        <x:v>Decision cap</x:v>
      </x:c>
      <x:c r="D21" s="13" t="str">
        <x:v>Value</x:v>
      </x:c>
      <x:c r="E21" s="13" t="str">
        <x:v>Unit</x:v>
      </x:c>
      <x:c r="F21" s="14" t="str">
        <x:v>Explanation</x:v>
      </x:c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2"/>
      <x:c r="B22" s="2"/>
      <x:c r="C22" s="2" t="str">
        <x:v>Obligor cap</x:v>
      </x:c>
      <x:c r="D22" s="27" t="n">
        <x:f>F14</x:f>
        <x:v>7500000</x:v>
      </x:c>
      <x:c r="E22" s="2" t="str">
        <x:v>USD</x:v>
      </x:c>
      <x:c r="F22" s="2" t="str">
        <x:v>Illustrative standalone obligor capacity</x:v>
      </x:c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2"/>
      <x:c r="B23" s="2"/>
      <x:c r="C23" s="2" t="str">
        <x:v>Collateral cap</x:v>
      </x:c>
      <x:c r="D23" s="27" t="n">
        <x:f>F15</x:f>
        <x:v>3046480</x:v>
      </x:c>
      <x:c r="E23" s="2" t="str">
        <x:v>USD</x:v>
      </x:c>
      <x:c r="F23" s="2" t="str">
        <x:v>Eligibility-gated recovery support</x:v>
      </x:c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 t="str">
        <x:v>Single-name cap</x:v>
      </x:c>
      <x:c r="D24" s="27" t="n">
        <x:f>F16</x:f>
        <x:v>6000000</x:v>
      </x:c>
      <x:c r="E24" s="2" t="str">
        <x:v>USD</x:v>
      </x:c>
      <x:c r="F24" s="2" t="str">
        <x:v>Policy capacity for the name</x:v>
      </x:c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 t="str">
        <x:v>Concentration cap</x:v>
      </x:c>
      <x:c r="D25" s="27" t="n">
        <x:f>MIN(F17,F18)</x:f>
        <x:v>4000000</x:v>
      </x:c>
      <x:c r="E25" s="2" t="str">
        <x:v>USD</x:v>
      </x:c>
      <x:c r="F25" s="2" t="str">
        <x:v>Lower of sector and shared-route capacity</x:v>
      </x:c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6" hidden="0" customWidth="1"/>
    <x:col min="4" max="4" width="18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Scenario comparison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Each row recalculates the same collateral logic; all drivers are hypothetical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23" t="str">
        <x:v>Scenario</x:v>
      </x:c>
      <x:c r="D6" s="24" t="str">
        <x:v>Price decline</x:v>
      </x:c>
      <x:c r="E6" s="24" t="str">
        <x:v>Execution cost</x:v>
      </x:c>
      <x:c r="F6" s="24" t="str">
        <x:v>Effective hours</x:v>
      </x:c>
      <x:c r="G6" s="24" t="str">
        <x:v>Delay bps/hr</x:v>
      </x:c>
      <x:c r="H6" s="24" t="str">
        <x:v>Accessible qty</x:v>
      </x:c>
      <x:c r="I6" s="24" t="str">
        <x:v>Legal gate</x:v>
      </x:c>
      <x:c r="J6" s="24" t="str">
        <x:v>Gross value</x:v>
      </x:c>
      <x:c r="K6" s="24" t="str">
        <x:v>Available proceeds</x:v>
      </x:c>
      <x:c r="L6" s="24" t="str">
        <x:v>Collateral cap</x:v>
      </x:c>
      <x:c r="M6" s="24" t="str">
        <x:v>Exposure + accrued</x:v>
      </x:c>
      <x:c r="N6" s="24" t="str">
        <x:v>Shortfall</x:v>
      </x:c>
      <x:c r="O6" s="60" t="str">
        <x:v>Decision effect</x:v>
      </x:c>
    </x:row>
    <x:row r="7" ht="15" hidden="0" customHeight="1">
      <x:c r="A7" s="2"/>
      <x:c r="B7" s="2"/>
      <x:c r="C7" s="22" t="str">
        <x:v>Base: simulated CPs verified</x:v>
      </x:c>
      <x:c r="D7" s="72" t="n">
        <x:v>0.02</x:v>
      </x:c>
      <x:c r="E7" s="72" t="n">
        <x:v>0.005</x:v>
      </x:c>
      <x:c r="F7" s="44" t="n">
        <x:v>2</x:v>
      </x:c>
      <x:c r="G7" s="72" t="n">
        <x:v>0.00125</x:v>
      </x:c>
      <x:c r="H7" s="73" t="n">
        <x:v>4000000</x:v>
      </x:c>
      <x:c r="I7" s="44" t="str">
        <x:v>Clear</x:v>
      </x:c>
      <x:c r="J7" s="36" t="n">
        <x:f>H7*'Assumptions'!D19*(1-D7)</x:f>
        <x:v>3920000</x:v>
      </x:c>
      <x:c r="K7" s="36" t="n">
        <x:f>IF(I7="Blocked",0,MAX(0,J7*(1-E7-F7*G7)-'Assumptions'!D24))</x:f>
        <x:v>3870600</x:v>
      </x:c>
      <x:c r="L7" s="36" t="n">
        <x:f>MAX(0,K7/'Assumptions'!D12-'Assumptions'!D10)</x:f>
        <x:v>3046480</x:v>
      </x:c>
      <x:c r="M7" s="36" t="n">
        <x:f>'Assumptions'!D9+'Assumptions'!D10</x:f>
        <x:v>5050000</x:v>
      </x:c>
      <x:c r="N7" s="36" t="n">
        <x:f>MAX(0,M7-K7)</x:f>
        <x:v>1179400</x:v>
      </x:c>
      <x:c r="O7" s="61" t="str">
        <x:v>$3.0m rounded conditional limit</x:v>
      </x:c>
    </x:row>
    <x:row r="8" ht="15" hidden="0" customHeight="1">
      <x:c r="A8" s="2"/>
      <x:c r="B8" s="2"/>
      <x:c r="C8" s="22" t="str">
        <x:v>30% USDC price decline</x:v>
      </x:c>
      <x:c r="D8" s="72" t="n">
        <x:v>0.3</x:v>
      </x:c>
      <x:c r="E8" s="72" t="n">
        <x:v>0.005</x:v>
      </x:c>
      <x:c r="F8" s="44" t="n">
        <x:v>2</x:v>
      </x:c>
      <x:c r="G8" s="72" t="n">
        <x:v>0.00125</x:v>
      </x:c>
      <x:c r="H8" s="73" t="n">
        <x:v>4000000</x:v>
      </x:c>
      <x:c r="I8" s="44" t="str">
        <x:v>Clear</x:v>
      </x:c>
      <x:c r="J8" s="36" t="n">
        <x:f>H8*'Assumptions'!D19*(1-D8)</x:f>
        <x:v>2800000</x:v>
      </x:c>
      <x:c r="K8" s="36" t="n">
        <x:f>IF(I8="Blocked",0,MAX(0,J8*(1-E8-F8*G8)-'Assumptions'!D24))</x:f>
        <x:v>2759000</x:v>
      </x:c>
      <x:c r="L8" s="36" t="n">
        <x:f>MAX(0,K8/'Assumptions'!D12-'Assumptions'!D10)</x:f>
        <x:v>2157200</x:v>
      </x:c>
      <x:c r="M8" s="36" t="n">
        <x:f>'Assumptions'!D9+'Assumptions'!D10</x:f>
        <x:v>5050000</x:v>
      </x:c>
      <x:c r="N8" s="36" t="n">
        <x:f>MAX(0,M8-K8)</x:f>
        <x:v>2291000</x:v>
      </x:c>
      <x:c r="O8" s="61" t="str">
        <x:v>$2.1m rounded conditional limit</x:v>
      </x:c>
    </x:row>
    <x:row r="9" ht="15" hidden="0" customHeight="1">
      <x:c r="A9" s="2"/>
      <x:c r="B9" s="2"/>
      <x:c r="C9" s="22" t="str">
        <x:v>24-hour additional route delay</x:v>
      </x:c>
      <x:c r="D9" s="72" t="n">
        <x:v>0</x:v>
      </x:c>
      <x:c r="E9" s="72" t="n">
        <x:v>0.005</x:v>
      </x:c>
      <x:c r="F9" s="44" t="n">
        <x:v>26</x:v>
      </x:c>
      <x:c r="G9" s="72" t="n">
        <x:v>0.00125</x:v>
      </x:c>
      <x:c r="H9" s="73" t="n">
        <x:v>4000000</x:v>
      </x:c>
      <x:c r="I9" s="44" t="str">
        <x:v>Clear</x:v>
      </x:c>
      <x:c r="J9" s="36" t="n">
        <x:f>H9*'Assumptions'!D19*(1-D9)</x:f>
        <x:v>4000000</x:v>
      </x:c>
      <x:c r="K9" s="36" t="n">
        <x:f>IF(I9="Blocked",0,MAX(0,J9*(1-E9-F9*G9)-'Assumptions'!D24))</x:f>
        <x:v>3830000</x:v>
      </x:c>
      <x:c r="L9" s="36" t="n">
        <x:f>MAX(0,K9/'Assumptions'!D12-'Assumptions'!D10)</x:f>
        <x:v>3014000</x:v>
      </x:c>
      <x:c r="M9" s="36" t="n">
        <x:f>'Assumptions'!D9+'Assumptions'!D10</x:f>
        <x:v>5050000</x:v>
      </x:c>
      <x:c r="N9" s="36" t="n">
        <x:f>MAX(0,M9-K9)</x:f>
        <x:v>1220000</x:v>
      </x:c>
      <x:c r="O9" s="61" t="str">
        <x:v>$3.0m rounded conditional limit</x:v>
      </x:c>
    </x:row>
    <x:row r="10" ht="15" hidden="0" customHeight="1">
      <x:c r="A10" s="2"/>
      <x:c r="B10" s="2"/>
      <x:c r="C10" s="22" t="str">
        <x:v>Route unavailable</x:v>
      </x:c>
      <x:c r="D10" s="72" t="n">
        <x:v>0</x:v>
      </x:c>
      <x:c r="E10" s="72" t="n">
        <x:v>0.005</x:v>
      </x:c>
      <x:c r="F10" s="44" t="n">
        <x:v>2</x:v>
      </x:c>
      <x:c r="G10" s="72" t="n">
        <x:v>0.00125</x:v>
      </x:c>
      <x:c r="H10" s="73" t="n">
        <x:v>0</x:v>
      </x:c>
      <x:c r="I10" s="44" t="str">
        <x:v>Blocked</x:v>
      </x:c>
      <x:c r="J10" s="36" t="n">
        <x:f>H10*'Assumptions'!D19*(1-D10)</x:f>
        <x:v>0</x:v>
      </x:c>
      <x:c r="K10" s="36" t="n">
        <x:f>IF(I10="Blocked",0,MAX(0,J10*(1-E10-F10*G10)-'Assumptions'!D24))</x:f>
        <x:v>0</x:v>
      </x:c>
      <x:c r="L10" s="36" t="n">
        <x:f>MAX(0,K10/'Assumptions'!D12-'Assumptions'!D10)</x:f>
        <x:v>0</x:v>
      </x:c>
      <x:c r="M10" s="36" t="n">
        <x:f>'Assumptions'!D9+'Assumptions'!D10</x:f>
        <x:v>5050000</x:v>
      </x:c>
      <x:c r="N10" s="36" t="n">
        <x:f>MAX(0,M10-K10)</x:f>
        <x:v>5050000</x:v>
      </x:c>
      <x:c r="O10" s="61" t="str">
        <x:v>Decline; no eligible proceeds</x:v>
      </x:c>
    </x:row>
    <x:row r="11" ht="15" hidden="0" customHeight="1">
      <x:c r="A11" s="2"/>
      <x:c r="B11" s="2"/>
      <x:c r="C11" s="22" t="str">
        <x:v>Unknown enforceability</x:v>
      </x:c>
      <x:c r="D11" s="72" t="n">
        <x:v>0.02</x:v>
      </x:c>
      <x:c r="E11" s="72" t="n">
        <x:v>0.005</x:v>
      </x:c>
      <x:c r="F11" s="44" t="n">
        <x:v>2</x:v>
      </x:c>
      <x:c r="G11" s="72" t="n">
        <x:v>0.00125</x:v>
      </x:c>
      <x:c r="H11" s="73" t="n">
        <x:v>4000000</x:v>
      </x:c>
      <x:c r="I11" s="44" t="str">
        <x:v>Blocked</x:v>
      </x:c>
      <x:c r="J11" s="36" t="n">
        <x:f>H11*'Assumptions'!D19*(1-D11)</x:f>
        <x:v>3920000</x:v>
      </x:c>
      <x:c r="K11" s="36" t="n">
        <x:f>IF(I11="Blocked",0,MAX(0,J11*(1-E11-F11*G11)-'Assumptions'!D24))</x:f>
        <x:v>0</x:v>
      </x:c>
      <x:c r="L11" s="36" t="n">
        <x:f>MAX(0,K11/'Assumptions'!D12-'Assumptions'!D10)</x:f>
        <x:v>0</x:v>
      </x:c>
      <x:c r="M11" s="36" t="n">
        <x:f>'Assumptions'!D9+'Assumptions'!D10</x:f>
        <x:v>5050000</x:v>
      </x:c>
      <x:c r="N11" s="36" t="n">
        <x:f>MAX(0,M11-K11)</x:f>
        <x:v>5050000</x:v>
      </x:c>
      <x:c r="O11" s="61" t="str">
        <x:v>Decline pending diligence</x:v>
      </x:c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15" hidden="0" customHeight="1">
      <x:c r="A14" s="2"/>
      <x:c r="B14" s="2"/>
      <x:c r="C14" s="23" t="str">
        <x:v>Invariant</x:v>
      </x:c>
      <x:c r="D14" s="24" t="str">
        <x:v>Test result</x:v>
      </x:c>
      <x:c r="E14" s="24" t="str">
        <x:v>Formula / test</x:v>
      </x:c>
      <x:c r="F14" s="13"/>
      <x:c r="G14" s="13"/>
      <x:c r="H14" s="14"/>
      <x:c r="I14" s="2"/>
      <x:c r="J14" s="2"/>
      <x:c r="K14" s="2"/>
      <x:c r="L14" s="2"/>
      <x:c r="M14" s="2"/>
      <x:c r="N14" s="2"/>
    </x:row>
    <x:row r="15" ht="30" hidden="0" customHeight="1">
      <x:c r="A15" s="2"/>
      <x:c r="B15" s="2"/>
      <x:c r="C15" s="22" t="str">
        <x:v>Lower price cannot increase proceeds</x:v>
      </x:c>
      <x:c r="D15" s="22" t="str">
        <x:f>IF(K8&lt;=K7,"PASS","FAIL")</x:f>
        <x:v>PASS</x:v>
      </x:c>
      <x:c r="E15" s="22" t="str">
        <x:v>30% price proceeds ≤ base proceeds</x:v>
      </x:c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0" hidden="0" customHeight="1">
      <x:c r="A16" s="2"/>
      <x:c r="B16" s="2"/>
      <x:c r="C16" s="22" t="str">
        <x:v>Higher delay cost cannot increase proceeds</x:v>
      </x:c>
      <x:c r="D16" s="22" t="str">
        <x:f>IF(K9&lt;=K7,"PASS","FAIL")</x:f>
        <x:v>PASS</x:v>
      </x:c>
      <x:c r="E16" s="22" t="str">
        <x:v>24-hour delay proceeds ≤ base proceeds</x:v>
      </x:c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30" hidden="0" customHeight="1">
      <x:c r="A17" s="2"/>
      <x:c r="B17" s="2"/>
      <x:c r="C17" s="22" t="str">
        <x:v>Zero accessible quantity yields zero proceeds</x:v>
      </x:c>
      <x:c r="D17" s="22" t="str">
        <x:f>IF(K10=0,"PASS","FAIL")</x:f>
        <x:v>PASS</x:v>
      </x:c>
      <x:c r="E17" s="22" t="str">
        <x:v>Route unavailable proceeds = 0</x:v>
      </x:c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30" hidden="0" customHeight="1">
      <x:c r="A18" s="2"/>
      <x:c r="B18" s="2"/>
      <x:c r="C18" s="22" t="str">
        <x:v>Blocked legal gate yields zero eligible proceeds</x:v>
      </x:c>
      <x:c r="D18" s="22" t="str">
        <x:f>IF(K11=0,"PASS","FAIL")</x:f>
        <x:v>PASS</x:v>
      </x:c>
      <x:c r="E18" s="22" t="str">
        <x:v>Blocked-base proceeds = 0</x:v>
      </x:c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30" hidden="0" customHeight="1">
      <x:c r="A19" s="2"/>
      <x:c r="B19" s="2"/>
      <x:c r="C19" s="22" t="str">
        <x:v>Higher eligible proceeds cannot increase shortfall</x:v>
      </x:c>
      <x:c r="D19" s="22" t="str">
        <x:f>IF(N7&lt;=N11,"PASS","FAIL")</x:f>
        <x:v>PASS</x:v>
      </x:c>
      <x:c r="E19" s="22" t="str">
        <x:v>Clear-base shortfall ≤ blocked-base shortfall</x:v>
      </x:c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D15:D19">
    <x:cfRule type="containsText" dxfId="4" priority="1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Collateral decision surface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Recommended limit by fictional USDC quantity and price decline; all other assumptions held constant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8" t="str">
        <x:v>Recommended amount</x:v>
      </x:c>
      <x:c r="D6" s="9" t="str"/>
      <x:c r="E6" s="9" t="str"/>
      <x:c r="F6" s="9" t="str"/>
      <x:c r="G6" s="9" t="str"/>
      <x:c r="H6" s="9" t="str"/>
      <x:c r="I6" s="9" t="str"/>
      <x:c r="J6" s="9" t="str"/>
      <x:c r="K6" s="10" t="str"/>
      <x:c r="L6" s="2"/>
      <x:c r="M6" s="2"/>
      <x:c r="N6" s="2"/>
    </x:row>
    <x:row r="7" ht="15" hidden="0" customHeight="1">
      <x:c r="A7" s="2"/>
      <x:c r="B7" s="2"/>
      <x:c r="C7" s="12" t="str">
        <x:v>USDC quantity / price decline</x:v>
      </x:c>
      <x:c r="D7" s="54" t="n">
        <x:v>0</x:v>
      </x:c>
      <x:c r="E7" s="54" t="n">
        <x:v>0.02</x:v>
      </x:c>
      <x:c r="F7" s="54" t="n">
        <x:v>0.05</x:v>
      </x:c>
      <x:c r="G7" s="54" t="n">
        <x:v>0.1</x:v>
      </x:c>
      <x:c r="H7" s="54" t="n">
        <x:v>0.2</x:v>
      </x:c>
      <x:c r="I7" s="54" t="n">
        <x:v>0.3</x:v>
      </x:c>
      <x:c r="J7" s="54" t="n">
        <x:v>0.4</x:v>
      </x:c>
      <x:c r="K7" s="55" t="n">
        <x:v>0.5</x:v>
      </x:c>
      <x:c r="L7" s="2"/>
      <x:c r="M7" s="2"/>
      <x:c r="N7" s="2"/>
    </x:row>
    <x:row r="8" ht="15" hidden="0" customHeight="1">
      <x:c r="A8" s="2"/>
      <x:c r="B8" s="2"/>
      <x:c r="C8" s="56" t="n">
        <x:v>2000000</x:v>
      </x:c>
      <x:c r="D8" s="57" t="n">
        <x:f>FLOOR(MAX(0,MIN('Assumptions'!$D$8,MAX(0,($C8*'Assumptions'!$D$19*(1-D$7))*(1-'Assumptions'!$D$21-'Assumptions'!$D$22*'Assumptions'!$D$23)-'Assumptions'!$D$24)/'Assumptions'!$D$12-'Assumptions'!$D$10,'Portfolio'!$D$22,'Portfolio'!$D$24,'Portfolio'!$D$25)),'Assumptions'!$D$14)</x:f>
        <x:v>1500000</x:v>
      </x:c>
      <x:c r="E8" s="57" t="n">
        <x:f>FLOOR(MAX(0,MIN('Assumptions'!$D$8,MAX(0,($C8*'Assumptions'!$D$19*(1-E$7))*(1-'Assumptions'!$D$21-'Assumptions'!$D$22*'Assumptions'!$D$23)-'Assumptions'!$D$24)/'Assumptions'!$D$12-'Assumptions'!$D$10,'Portfolio'!$D$22,'Portfolio'!$D$24,'Portfolio'!$D$25)),'Assumptions'!$D$14)</x:f>
        <x:v>1400000</x:v>
      </x:c>
      <x:c r="F8" s="57" t="n">
        <x:f>FLOOR(MAX(0,MIN('Assumptions'!$D$8,MAX(0,($C8*'Assumptions'!$D$19*(1-F$7))*(1-'Assumptions'!$D$21-'Assumptions'!$D$22*'Assumptions'!$D$23)-'Assumptions'!$D$24)/'Assumptions'!$D$12-'Assumptions'!$D$10,'Portfolio'!$D$22,'Portfolio'!$D$24,'Portfolio'!$D$25)),'Assumptions'!$D$14)</x:f>
        <x:v>1400000</x:v>
      </x:c>
      <x:c r="G8" s="57" t="n">
        <x:f>FLOOR(MAX(0,MIN('Assumptions'!$D$8,MAX(0,($C8*'Assumptions'!$D$19*(1-G$7))*(1-'Assumptions'!$D$21-'Assumptions'!$D$22*'Assumptions'!$D$23)-'Assumptions'!$D$24)/'Assumptions'!$D$12-'Assumptions'!$D$10,'Portfolio'!$D$22,'Portfolio'!$D$24,'Portfolio'!$D$25)),'Assumptions'!$D$14)</x:f>
        <x:v>1300000</x:v>
      </x:c>
      <x:c r="H8" s="57" t="n">
        <x:f>FLOOR(MAX(0,MIN('Assumptions'!$D$8,MAX(0,($C8*'Assumptions'!$D$19*(1-H$7))*(1-'Assumptions'!$D$21-'Assumptions'!$D$22*'Assumptions'!$D$23)-'Assumptions'!$D$24)/'Assumptions'!$D$12-'Assumptions'!$D$10,'Portfolio'!$D$22,'Portfolio'!$D$24,'Portfolio'!$D$25)),'Assumptions'!$D$14)</x:f>
        <x:v>1200000</x:v>
      </x:c>
      <x:c r="I8" s="57" t="n">
        <x:f>FLOOR(MAX(0,MIN('Assumptions'!$D$8,MAX(0,($C8*'Assumptions'!$D$19*(1-I$7))*(1-'Assumptions'!$D$21-'Assumptions'!$D$22*'Assumptions'!$D$23)-'Assumptions'!$D$24)/'Assumptions'!$D$12-'Assumptions'!$D$10,'Portfolio'!$D$22,'Portfolio'!$D$24,'Portfolio'!$D$25)),'Assumptions'!$D$14)</x:f>
        <x:v>1000000</x:v>
      </x:c>
      <x:c r="J8" s="57" t="n">
        <x:f>FLOOR(MAX(0,MIN('Assumptions'!$D$8,MAX(0,($C8*'Assumptions'!$D$19*(1-J$7))*(1-'Assumptions'!$D$21-'Assumptions'!$D$22*'Assumptions'!$D$23)-'Assumptions'!$D$24)/'Assumptions'!$D$12-'Assumptions'!$D$10,'Portfolio'!$D$22,'Portfolio'!$D$24,'Portfolio'!$D$25)),'Assumptions'!$D$14)</x:f>
        <x:v>800000</x:v>
      </x:c>
      <x:c r="K8" s="57" t="n">
        <x:f>FLOOR(MAX(0,MIN('Assumptions'!$D$8,MAX(0,($C8*'Assumptions'!$D$19*(1-K$7))*(1-'Assumptions'!$D$21-'Assumptions'!$D$22*'Assumptions'!$D$23)-'Assumptions'!$D$24)/'Assumptions'!$D$12-'Assumptions'!$D$10,'Portfolio'!$D$22,'Portfolio'!$D$24,'Portfolio'!$D$25)),'Assumptions'!$D$14)</x:f>
        <x:v>700000</x:v>
      </x:c>
      <x:c r="L8" s="2"/>
      <x:c r="M8" s="2"/>
      <x:c r="N8" s="2"/>
    </x:row>
    <x:row r="9" ht="15" hidden="0" customHeight="1">
      <x:c r="A9" s="2"/>
      <x:c r="B9" s="2"/>
      <x:c r="C9" s="56" t="n">
        <x:v>3000000</x:v>
      </x:c>
      <x:c r="D9" s="57" t="n">
        <x:f>FLOOR(MAX(0,MIN('Assumptions'!$D$8,MAX(0,($C9*'Assumptions'!$D$19*(1-D$7))*(1-'Assumptions'!$D$21-'Assumptions'!$D$22*'Assumptions'!$D$23)-'Assumptions'!$D$24)/'Assumptions'!$D$12-'Assumptions'!$D$10,'Portfolio'!$D$22,'Portfolio'!$D$24,'Portfolio'!$D$25)),'Assumptions'!$D$14)</x:f>
        <x:v>2300000</x:v>
      </x:c>
      <x:c r="E9" s="57" t="n">
        <x:f>FLOOR(MAX(0,MIN('Assumptions'!$D$8,MAX(0,($C9*'Assumptions'!$D$19*(1-E$7))*(1-'Assumptions'!$D$21-'Assumptions'!$D$22*'Assumptions'!$D$23)-'Assumptions'!$D$24)/'Assumptions'!$D$12-'Assumptions'!$D$10,'Portfolio'!$D$22,'Portfolio'!$D$24,'Portfolio'!$D$25)),'Assumptions'!$D$14)</x:f>
        <x:v>2200000</x:v>
      </x:c>
      <x:c r="F9" s="57" t="n">
        <x:f>FLOOR(MAX(0,MIN('Assumptions'!$D$8,MAX(0,($C9*'Assumptions'!$D$19*(1-F$7))*(1-'Assumptions'!$D$21-'Assumptions'!$D$22*'Assumptions'!$D$23)-'Assumptions'!$D$24)/'Assumptions'!$D$12-'Assumptions'!$D$10,'Portfolio'!$D$22,'Portfolio'!$D$24,'Portfolio'!$D$25)),'Assumptions'!$D$14)</x:f>
        <x:v>2100000</x:v>
      </x:c>
      <x:c r="G9" s="57" t="n">
        <x:f>FLOOR(MAX(0,MIN('Assumptions'!$D$8,MAX(0,($C9*'Assumptions'!$D$19*(1-G$7))*(1-'Assumptions'!$D$21-'Assumptions'!$D$22*'Assumptions'!$D$23)-'Assumptions'!$D$24)/'Assumptions'!$D$12-'Assumptions'!$D$10,'Portfolio'!$D$22,'Portfolio'!$D$24,'Portfolio'!$D$25)),'Assumptions'!$D$14)</x:f>
        <x:v>2000000</x:v>
      </x:c>
      <x:c r="H9" s="57" t="n">
        <x:f>FLOOR(MAX(0,MIN('Assumptions'!$D$8,MAX(0,($C9*'Assumptions'!$D$19*(1-H$7))*(1-'Assumptions'!$D$21-'Assumptions'!$D$22*'Assumptions'!$D$23)-'Assumptions'!$D$24)/'Assumptions'!$D$12-'Assumptions'!$D$10,'Portfolio'!$D$22,'Portfolio'!$D$24,'Portfolio'!$D$25)),'Assumptions'!$D$14)</x:f>
        <x:v>1800000</x:v>
      </x:c>
      <x:c r="I9" s="57" t="n">
        <x:f>FLOOR(MAX(0,MIN('Assumptions'!$D$8,MAX(0,($C9*'Assumptions'!$D$19*(1-I$7))*(1-'Assumptions'!$D$21-'Assumptions'!$D$22*'Assumptions'!$D$23)-'Assumptions'!$D$24)/'Assumptions'!$D$12-'Assumptions'!$D$10,'Portfolio'!$D$22,'Portfolio'!$D$24,'Portfolio'!$D$25)),'Assumptions'!$D$14)</x:f>
        <x:v>1600000</x:v>
      </x:c>
      <x:c r="J9" s="57" t="n">
        <x:f>FLOOR(MAX(0,MIN('Assumptions'!$D$8,MAX(0,($C9*'Assumptions'!$D$19*(1-J$7))*(1-'Assumptions'!$D$21-'Assumptions'!$D$22*'Assumptions'!$D$23)-'Assumptions'!$D$24)/'Assumptions'!$D$12-'Assumptions'!$D$10,'Portfolio'!$D$22,'Portfolio'!$D$24,'Portfolio'!$D$25)),'Assumptions'!$D$14)</x:f>
        <x:v>1300000</x:v>
      </x:c>
      <x:c r="K9" s="57" t="n">
        <x:f>FLOOR(MAX(0,MIN('Assumptions'!$D$8,MAX(0,($C9*'Assumptions'!$D$19*(1-K$7))*(1-'Assumptions'!$D$21-'Assumptions'!$D$22*'Assumptions'!$D$23)-'Assumptions'!$D$24)/'Assumptions'!$D$12-'Assumptions'!$D$10,'Portfolio'!$D$22,'Portfolio'!$D$24,'Portfolio'!$D$25)),'Assumptions'!$D$14)</x:f>
        <x:v>1100000</x:v>
      </x:c>
      <x:c r="L9" s="2"/>
      <x:c r="M9" s="2"/>
      <x:c r="N9" s="2"/>
    </x:row>
    <x:row r="10" ht="15" hidden="0" customHeight="1">
      <x:c r="A10" s="2"/>
      <x:c r="B10" s="2"/>
      <x:c r="C10" s="56" t="n">
        <x:v>4000000</x:v>
      </x:c>
      <x:c r="D10" s="57" t="n">
        <x:f>FLOOR(MAX(0,MIN('Assumptions'!$D$8,MAX(0,($C10*'Assumptions'!$D$19*(1-D$7))*(1-'Assumptions'!$D$21-'Assumptions'!$D$22*'Assumptions'!$D$23)-'Assumptions'!$D$24)/'Assumptions'!$D$12-'Assumptions'!$D$10,'Portfolio'!$D$22,'Portfolio'!$D$24,'Portfolio'!$D$25)),'Assumptions'!$D$14)</x:f>
        <x:v>3100000</x:v>
      </x:c>
      <x:c r="E10" s="57" t="n">
        <x:f>FLOOR(MAX(0,MIN('Assumptions'!$D$8,MAX(0,($C10*'Assumptions'!$D$19*(1-E$7))*(1-'Assumptions'!$D$21-'Assumptions'!$D$22*'Assumptions'!$D$23)-'Assumptions'!$D$24)/'Assumptions'!$D$12-'Assumptions'!$D$10,'Portfolio'!$D$22,'Portfolio'!$D$24,'Portfolio'!$D$25)),'Assumptions'!$D$14)</x:f>
        <x:v>3000000</x:v>
      </x:c>
      <x:c r="F10" s="57" t="n">
        <x:f>FLOOR(MAX(0,MIN('Assumptions'!$D$8,MAX(0,($C10*'Assumptions'!$D$19*(1-F$7))*(1-'Assumptions'!$D$21-'Assumptions'!$D$22*'Assumptions'!$D$23)-'Assumptions'!$D$24)/'Assumptions'!$D$12-'Assumptions'!$D$10,'Portfolio'!$D$22,'Portfolio'!$D$24,'Portfolio'!$D$25)),'Assumptions'!$D$14)</x:f>
        <x:v>2900000</x:v>
      </x:c>
      <x:c r="G10" s="57" t="n">
        <x:f>FLOOR(MAX(0,MIN('Assumptions'!$D$8,MAX(0,($C10*'Assumptions'!$D$19*(1-G$7))*(1-'Assumptions'!$D$21-'Assumptions'!$D$22*'Assumptions'!$D$23)-'Assumptions'!$D$24)/'Assumptions'!$D$12-'Assumptions'!$D$10,'Portfolio'!$D$22,'Portfolio'!$D$24,'Portfolio'!$D$25)),'Assumptions'!$D$14)</x:f>
        <x:v>2700000</x:v>
      </x:c>
      <x:c r="H10" s="57" t="n">
        <x:f>FLOOR(MAX(0,MIN('Assumptions'!$D$8,MAX(0,($C10*'Assumptions'!$D$19*(1-H$7))*(1-'Assumptions'!$D$21-'Assumptions'!$D$22*'Assumptions'!$D$23)-'Assumptions'!$D$24)/'Assumptions'!$D$12-'Assumptions'!$D$10,'Portfolio'!$D$22,'Portfolio'!$D$24,'Portfolio'!$D$25)),'Assumptions'!$D$14)</x:f>
        <x:v>2400000</x:v>
      </x:c>
      <x:c r="I10" s="57" t="n">
        <x:f>FLOOR(MAX(0,MIN('Assumptions'!$D$8,MAX(0,($C10*'Assumptions'!$D$19*(1-I$7))*(1-'Assumptions'!$D$21-'Assumptions'!$D$22*'Assumptions'!$D$23)-'Assumptions'!$D$24)/'Assumptions'!$D$12-'Assumptions'!$D$10,'Portfolio'!$D$22,'Portfolio'!$D$24,'Portfolio'!$D$25)),'Assumptions'!$D$14)</x:f>
        <x:v>2100000</x:v>
      </x:c>
      <x:c r="J10" s="57" t="n">
        <x:f>FLOOR(MAX(0,MIN('Assumptions'!$D$8,MAX(0,($C10*'Assumptions'!$D$19*(1-J$7))*(1-'Assumptions'!$D$21-'Assumptions'!$D$22*'Assumptions'!$D$23)-'Assumptions'!$D$24)/'Assumptions'!$D$12-'Assumptions'!$D$10,'Portfolio'!$D$22,'Portfolio'!$D$24,'Portfolio'!$D$25)),'Assumptions'!$D$14)</x:f>
        <x:v>1800000</x:v>
      </x:c>
      <x:c r="K10" s="57" t="n">
        <x:f>FLOOR(MAX(0,MIN('Assumptions'!$D$8,MAX(0,($C10*'Assumptions'!$D$19*(1-K$7))*(1-'Assumptions'!$D$21-'Assumptions'!$D$22*'Assumptions'!$D$23)-'Assumptions'!$D$24)/'Assumptions'!$D$12-'Assumptions'!$D$10,'Portfolio'!$D$22,'Portfolio'!$D$24,'Portfolio'!$D$25)),'Assumptions'!$D$14)</x:f>
        <x:v>1500000</x:v>
      </x:c>
      <x:c r="L10" s="2"/>
      <x:c r="M10" s="2"/>
      <x:c r="N10" s="2"/>
    </x:row>
    <x:row r="11" ht="15" hidden="0" customHeight="1">
      <x:c r="A11" s="2"/>
      <x:c r="B11" s="2"/>
      <x:c r="C11" s="56" t="n">
        <x:v>5000000</x:v>
      </x:c>
      <x:c r="D11" s="57" t="n">
        <x:f>FLOOR(MAX(0,MIN('Assumptions'!$D$8,MAX(0,($C11*'Assumptions'!$D$19*(1-D$7))*(1-'Assumptions'!$D$21-'Assumptions'!$D$22*'Assumptions'!$D$23)-'Assumptions'!$D$24)/'Assumptions'!$D$12-'Assumptions'!$D$10,'Portfolio'!$D$22,'Portfolio'!$D$24,'Portfolio'!$D$25)),'Assumptions'!$D$14)</x:f>
        <x:v>3900000</x:v>
      </x:c>
      <x:c r="E11" s="57" t="n">
        <x:f>FLOOR(MAX(0,MIN('Assumptions'!$D$8,MAX(0,($C11*'Assumptions'!$D$19*(1-E$7))*(1-'Assumptions'!$D$21-'Assumptions'!$D$22*'Assumptions'!$D$23)-'Assumptions'!$D$24)/'Assumptions'!$D$12-'Assumptions'!$D$10,'Portfolio'!$D$22,'Portfolio'!$D$24,'Portfolio'!$D$25)),'Assumptions'!$D$14)</x:f>
        <x:v>3800000</x:v>
      </x:c>
      <x:c r="F11" s="57" t="n">
        <x:f>FLOOR(MAX(0,MIN('Assumptions'!$D$8,MAX(0,($C11*'Assumptions'!$D$19*(1-F$7))*(1-'Assumptions'!$D$21-'Assumptions'!$D$22*'Assumptions'!$D$23)-'Assumptions'!$D$24)/'Assumptions'!$D$12-'Assumptions'!$D$10,'Portfolio'!$D$22,'Portfolio'!$D$24,'Portfolio'!$D$25)),'Assumptions'!$D$14)</x:f>
        <x:v>3700000</x:v>
      </x:c>
      <x:c r="G11" s="57" t="n">
        <x:f>FLOOR(MAX(0,MIN('Assumptions'!$D$8,MAX(0,($C11*'Assumptions'!$D$19*(1-G$7))*(1-'Assumptions'!$D$21-'Assumptions'!$D$22*'Assumptions'!$D$23)-'Assumptions'!$D$24)/'Assumptions'!$D$12-'Assumptions'!$D$10,'Portfolio'!$D$22,'Portfolio'!$D$24,'Portfolio'!$D$25)),'Assumptions'!$D$14)</x:f>
        <x:v>3500000</x:v>
      </x:c>
      <x:c r="H11" s="57" t="n">
        <x:f>FLOOR(MAX(0,MIN('Assumptions'!$D$8,MAX(0,($C11*'Assumptions'!$D$19*(1-H$7))*(1-'Assumptions'!$D$21-'Assumptions'!$D$22*'Assumptions'!$D$23)-'Assumptions'!$D$24)/'Assumptions'!$D$12-'Assumptions'!$D$10,'Portfolio'!$D$22,'Portfolio'!$D$24,'Portfolio'!$D$25)),'Assumptions'!$D$14)</x:f>
        <x:v>3100000</x:v>
      </x:c>
      <x:c r="I11" s="57" t="n">
        <x:f>FLOOR(MAX(0,MIN('Assumptions'!$D$8,MAX(0,($C11*'Assumptions'!$D$19*(1-I$7))*(1-'Assumptions'!$D$21-'Assumptions'!$D$22*'Assumptions'!$D$23)-'Assumptions'!$D$24)/'Assumptions'!$D$12-'Assumptions'!$D$10,'Portfolio'!$D$22,'Portfolio'!$D$24,'Portfolio'!$D$25)),'Assumptions'!$D$14)</x:f>
        <x:v>2700000</x:v>
      </x:c>
      <x:c r="J11" s="57" t="n">
        <x:f>FLOOR(MAX(0,MIN('Assumptions'!$D$8,MAX(0,($C11*'Assumptions'!$D$19*(1-J$7))*(1-'Assumptions'!$D$21-'Assumptions'!$D$22*'Assumptions'!$D$23)-'Assumptions'!$D$24)/'Assumptions'!$D$12-'Assumptions'!$D$10,'Portfolio'!$D$22,'Portfolio'!$D$24,'Portfolio'!$D$25)),'Assumptions'!$D$14)</x:f>
        <x:v>2300000</x:v>
      </x:c>
      <x:c r="K11" s="57" t="n">
        <x:f>FLOOR(MAX(0,MIN('Assumptions'!$D$8,MAX(0,($C11*'Assumptions'!$D$19*(1-K$7))*(1-'Assumptions'!$D$21-'Assumptions'!$D$22*'Assumptions'!$D$23)-'Assumptions'!$D$24)/'Assumptions'!$D$12-'Assumptions'!$D$10,'Portfolio'!$D$22,'Portfolio'!$D$24,'Portfolio'!$D$25)),'Assumptions'!$D$14)</x:f>
        <x:v>1900000</x:v>
      </x:c>
      <x:c r="L11" s="2"/>
      <x:c r="M11" s="2"/>
      <x:c r="N11" s="2"/>
    </x:row>
    <x:row r="12" ht="15" hidden="0" customHeight="1">
      <x:c r="A12" s="2"/>
      <x:c r="B12" s="2"/>
      <x:c r="C12" s="56" t="n">
        <x:v>6000000</x:v>
      </x:c>
      <x:c r="D12" s="57" t="n">
        <x:f>FLOOR(MAX(0,MIN('Assumptions'!$D$8,MAX(0,($C12*'Assumptions'!$D$19*(1-D$7))*(1-'Assumptions'!$D$21-'Assumptions'!$D$22*'Assumptions'!$D$23)-'Assumptions'!$D$24)/'Assumptions'!$D$12-'Assumptions'!$D$10,'Portfolio'!$D$22,'Portfolio'!$D$24,'Portfolio'!$D$25)),'Assumptions'!$D$14)</x:f>
        <x:v>4000000</x:v>
      </x:c>
      <x:c r="E12" s="57" t="n">
        <x:f>FLOOR(MAX(0,MIN('Assumptions'!$D$8,MAX(0,($C12*'Assumptions'!$D$19*(1-E$7))*(1-'Assumptions'!$D$21-'Assumptions'!$D$22*'Assumptions'!$D$23)-'Assumptions'!$D$24)/'Assumptions'!$D$12-'Assumptions'!$D$10,'Portfolio'!$D$22,'Portfolio'!$D$24,'Portfolio'!$D$25)),'Assumptions'!$D$14)</x:f>
        <x:v>4000000</x:v>
      </x:c>
      <x:c r="F12" s="57" t="n">
        <x:f>FLOOR(MAX(0,MIN('Assumptions'!$D$8,MAX(0,($C12*'Assumptions'!$D$19*(1-F$7))*(1-'Assumptions'!$D$21-'Assumptions'!$D$22*'Assumptions'!$D$23)-'Assumptions'!$D$24)/'Assumptions'!$D$12-'Assumptions'!$D$10,'Portfolio'!$D$22,'Portfolio'!$D$24,'Portfolio'!$D$25)),'Assumptions'!$D$14)</x:f>
        <x:v>4000000</x:v>
      </x:c>
      <x:c r="G12" s="57" t="n">
        <x:f>FLOOR(MAX(0,MIN('Assumptions'!$D$8,MAX(0,($C12*'Assumptions'!$D$19*(1-G$7))*(1-'Assumptions'!$D$21-'Assumptions'!$D$22*'Assumptions'!$D$23)-'Assumptions'!$D$24)/'Assumptions'!$D$12-'Assumptions'!$D$10,'Portfolio'!$D$22,'Portfolio'!$D$24,'Portfolio'!$D$25)),'Assumptions'!$D$14)</x:f>
        <x:v>4000000</x:v>
      </x:c>
      <x:c r="H12" s="57" t="n">
        <x:f>FLOOR(MAX(0,MIN('Assumptions'!$D$8,MAX(0,($C12*'Assumptions'!$D$19*(1-H$7))*(1-'Assumptions'!$D$21-'Assumptions'!$D$22*'Assumptions'!$D$23)-'Assumptions'!$D$24)/'Assumptions'!$D$12-'Assumptions'!$D$10,'Portfolio'!$D$22,'Portfolio'!$D$24,'Portfolio'!$D$25)),'Assumptions'!$D$14)</x:f>
        <x:v>3700000</x:v>
      </x:c>
      <x:c r="I12" s="57" t="n">
        <x:f>FLOOR(MAX(0,MIN('Assumptions'!$D$8,MAX(0,($C12*'Assumptions'!$D$19*(1-I$7))*(1-'Assumptions'!$D$21-'Assumptions'!$D$22*'Assumptions'!$D$23)-'Assumptions'!$D$24)/'Assumptions'!$D$12-'Assumptions'!$D$10,'Portfolio'!$D$22,'Portfolio'!$D$24,'Portfolio'!$D$25)),'Assumptions'!$D$14)</x:f>
        <x:v>3200000</x:v>
      </x:c>
      <x:c r="J12" s="57" t="n">
        <x:f>FLOOR(MAX(0,MIN('Assumptions'!$D$8,MAX(0,($C12*'Assumptions'!$D$19*(1-J$7))*(1-'Assumptions'!$D$21-'Assumptions'!$D$22*'Assumptions'!$D$23)-'Assumptions'!$D$24)/'Assumptions'!$D$12-'Assumptions'!$D$10,'Portfolio'!$D$22,'Portfolio'!$D$24,'Portfolio'!$D$25)),'Assumptions'!$D$14)</x:f>
        <x:v>2700000</x:v>
      </x:c>
      <x:c r="K12" s="57" t="n">
        <x:f>FLOOR(MAX(0,MIN('Assumptions'!$D$8,MAX(0,($C12*'Assumptions'!$D$19*(1-K$7))*(1-'Assumptions'!$D$21-'Assumptions'!$D$22*'Assumptions'!$D$23)-'Assumptions'!$D$24)/'Assumptions'!$D$12-'Assumptions'!$D$10,'Portfolio'!$D$22,'Portfolio'!$D$24,'Portfolio'!$D$25)),'Assumptions'!$D$14)</x:f>
        <x:v>2300000</x:v>
      </x:c>
      <x:c r="L12" s="2"/>
      <x:c r="M12" s="2"/>
      <x:c r="N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0" hidden="0" customHeight="1">
      <x:c r="A15" s="2"/>
      <x:c r="B15" s="2"/>
      <x:c r="C15" s="21" t="str">
        <x:v>Interpretation</x:v>
      </x:c>
      <x:c r="D15" s="26" t="str">
        <x:v>Each cell is the rounded recommendation after the collateral, obligor, single-name, concentration, and requested-amount caps.</x:v>
      </x:c>
      <x:c r="E15" s="26"/>
      <x:c r="F15" s="26"/>
      <x:c r="G15" s="26"/>
      <x:c r="H15" s="26"/>
      <x:c r="I15" s="26"/>
      <x:c r="J15" s="26"/>
      <x:c r="K15" s="26"/>
      <x:c r="L15" s="2"/>
      <x:c r="M15" s="2"/>
      <x:c r="N15" s="2"/>
    </x:row>
    <x:row r="16" ht="20" hidden="0" customHeight="1">
      <x:c r="A16" s="2"/>
      <x:c r="B16" s="2"/>
      <x:c r="C16" s="21" t="str">
        <x:v>Base location</x:v>
      </x:c>
      <x:c r="D16" s="26" t="str">
        <x:v>4.0m USDC and 2% price decline reproduces the $3.0m conditional recommendation.</x:v>
      </x:c>
      <x:c r="E16" s="26"/>
      <x:c r="F16" s="26"/>
      <x:c r="G16" s="26"/>
      <x:c r="H16" s="26"/>
      <x:c r="I16" s="26"/>
      <x:c r="J16" s="26"/>
      <x:c r="K16" s="26"/>
      <x:c r="L16" s="2"/>
      <x:c r="M16" s="2"/>
      <x:c r="N16" s="2"/>
    </x:row>
    <x:row r="17" ht="20" hidden="0" customHeight="1">
      <x:c r="A17" s="2"/>
      <x:c r="B17" s="2"/>
      <x:c r="C17" s="21" t="str">
        <x:v>Boundary</x:v>
      </x:c>
      <x:c r="D17" s="26" t="str">
        <x:v>The grid assumes every simulated legal and operational condition is clear. An unresolved hard blocker still produces a decline.</x:v>
      </x:c>
      <x:c r="E17" s="26"/>
      <x:c r="F17" s="26"/>
      <x:c r="G17" s="26"/>
      <x:c r="H17" s="26"/>
      <x:c r="I17" s="26"/>
      <x:c r="J17" s="26"/>
      <x:c r="K17" s="26"/>
      <x:c r="L17" s="2"/>
      <x:c r="M17" s="2"/>
      <x:c r="N17" s="2"/>
    </x:row>
    <x:row r="18" ht="20" hidden="0" customHeight="1">
      <x:c r="A18" s="2"/>
      <x:c r="B18" s="2"/>
      <x:c r="C18" s="21" t="str">
        <x:v>Method</x:v>
      </x:c>
      <x:c r="D18" s="26" t="str">
        <x:v>Execution cost, delay cost, fixed cost, coverage, and non-collateral caps remain at the declared base assumptions.</x:v>
      </x:c>
      <x:c r="E18" s="26"/>
      <x:c r="F18" s="26"/>
      <x:c r="G18" s="26"/>
      <x:c r="H18" s="26"/>
      <x:c r="I18" s="26"/>
      <x:c r="J18" s="26"/>
      <x:c r="K18" s="26"/>
      <x:c r="L18" s="2"/>
      <x:c r="M18" s="2"/>
      <x:c r="N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D8:K1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C55A11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18" hidden="0" customWidth="1"/>
    <x:col min="5" max="5" width="46" hidden="0" customWidth="1"/>
    <x:col min="6" max="6" width="24" hidden="0" customWidth="1"/>
    <x:col min="7" max="7" width="18" hidden="0" customWidth="1"/>
    <x:col min="8" max="8" width="18" hidden="0" customWidth="1"/>
    <x:col min="9" max="9" width="48" hidden="0" customWidth="1"/>
    <x:col min="10" max="10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Pre-funding conditions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Current project evidence status; conditional approval is not authority to fund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8" t="str">
        <x:v>Funding gate summary</x:v>
      </x:c>
      <x:c r="D6" s="9" t="str"/>
      <x:c r="E6" s="9" t="str"/>
      <x:c r="F6" s="9" t="str"/>
      <x:c r="G6" s="9" t="str"/>
      <x:c r="H6" s="10" t="str"/>
      <x:c r="I6" s="2"/>
      <x:c r="J6" s="2"/>
      <x:c r="K6" s="2"/>
      <x:c r="L6" s="2"/>
      <x:c r="M6" s="2"/>
      <x:c r="N6" s="2"/>
    </x:row>
    <x:row r="7" ht="15" hidden="0" customHeight="1">
      <x:c r="A7" s="2"/>
      <x:c r="B7" s="2"/>
      <x:c r="C7" s="12" t="str">
        <x:v>Measure</x:v>
      </x:c>
      <x:c r="D7" s="14" t="str">
        <x:v>Result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15" hidden="0" customHeight="1">
      <x:c r="A8" s="2"/>
      <x:c r="B8" s="2"/>
      <x:c r="C8" s="2" t="str">
        <x:v>Total blocking conditions</x:v>
      </x:c>
      <x:c r="D8" s="58" t="n">
        <x:f>COUNTA(C14:C22)</x:f>
        <x:v>9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15" hidden="0" customHeight="1">
      <x:c r="A9" s="2"/>
      <x:c r="B9" s="2"/>
      <x:c r="C9" s="2" t="str">
        <x:v>Outstanding conditions</x:v>
      </x:c>
      <x:c r="D9" s="58" t="n">
        <x:f>COUNTIF(G14:G22,"Outstanding")</x:f>
        <x:v>9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15" hidden="0" customHeight="1">
      <x:c r="A10" s="2"/>
      <x:c r="B10" s="2"/>
      <x:c r="C10" s="2" t="str">
        <x:v>Funding gate</x:v>
      </x:c>
      <x:c r="D10" s="2" t="str">
        <x:f>IF(D9&gt;0,"BLOCKED PENDING CONDITIONS","CLEARED TO FUND")</x:f>
        <x:v>BLOCKED PENDING CONDITIONS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15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15" hidden="0" customHeight="1">
      <x:c r="A13" s="2"/>
      <x:c r="B13" s="2"/>
      <x:c r="C13" s="23" t="str">
        <x:v>Condition ID</x:v>
      </x:c>
      <x:c r="D13" s="24" t="str">
        <x:v>Category</x:v>
      </x:c>
      <x:c r="E13" s="24" t="str">
        <x:v>Requirement</x:v>
      </x:c>
      <x:c r="F13" s="24" t="str">
        <x:v>Owner</x:v>
      </x:c>
      <x:c r="G13" s="24" t="str">
        <x:v>Status</x:v>
      </x:c>
      <x:c r="H13" s="24" t="str">
        <x:v>Timing</x:v>
      </x:c>
      <x:c r="I13" s="24" t="str">
        <x:v>Verification evidence</x:v>
      </x:c>
      <x:c r="J13" s="24" t="str">
        <x:v>Source ID</x:v>
      </x:c>
      <x:c r="K13" s="25" t="str">
        <x:v>Blocking</x:v>
      </x:c>
      <x:c r="L13" s="2"/>
      <x:c r="M13" s="2"/>
      <x:c r="N13" s="2"/>
    </x:row>
    <x:row r="14" ht="40" hidden="0" customHeight="1">
      <x:c r="A14" s="2"/>
      <x:c r="B14" s="2"/>
      <x:c r="C14" s="22" t="str">
        <x:v>CP-01</x:v>
      </x:c>
      <x:c r="D14" s="22" t="str">
        <x:v>Collateral</x:v>
      </x:c>
      <x:c r="E14" s="59" t="str">
        <x:v>Verify beneficial ownership of the proposed collateral lot.</x:v>
      </x:c>
      <x:c r="F14" s="22" t="str">
        <x:v>Credit / borrower</x:v>
      </x:c>
      <x:c r="G14" s="44" t="str">
        <x:v>Outstanding</x:v>
      </x:c>
      <x:c r="H14" s="22" t="str">
        <x:v>Before funding</x:v>
      </x:c>
      <x:c r="I14" s="59" t="str">
        <x:v>Ownership documents and independently corroborated custody records</x:v>
      </x:c>
      <x:c r="J14" s="22" t="str">
        <x:v>ASM-C007</x:v>
      </x:c>
      <x:c r="K14" s="22" t="str">
        <x:v>Yes</x:v>
      </x:c>
      <x:c r="L14" s="2"/>
      <x:c r="M14" s="2"/>
      <x:c r="N14" s="2"/>
    </x:row>
    <x:row r="15" ht="40" hidden="0" customHeight="1">
      <x:c r="A15" s="2"/>
      <x:c r="B15" s="2"/>
      <x:c r="C15" s="22" t="str">
        <x:v>CP-02</x:v>
      </x:c>
      <x:c r="D15" s="22" t="str">
        <x:v>Legal</x:v>
      </x:c>
      <x:c r="E15" s="59" t="str">
        <x:v>Confirm no prior lien and first-priority perfected security.</x:v>
      </x:c>
      <x:c r="F15" s="22" t="str">
        <x:v>Legal</x:v>
      </x:c>
      <x:c r="G15" s="44" t="str">
        <x:v>Outstanding</x:v>
      </x:c>
      <x:c r="H15" s="22" t="str">
        <x:v>Before funding</x:v>
      </x:c>
      <x:c r="I15" s="59" t="str">
        <x:v>Lien search, executed security documents, and legal confirmation</x:v>
      </x:c>
      <x:c r="J15" s="22" t="str">
        <x:v>ASM-C007</x:v>
      </x:c>
      <x:c r="K15" s="22" t="str">
        <x:v>Yes</x:v>
      </x:c>
      <x:c r="L15" s="2"/>
      <x:c r="M15" s="2"/>
      <x:c r="N15" s="2"/>
    </x:row>
    <x:row r="16" ht="40" hidden="0" customHeight="1">
      <x:c r="A16" s="2"/>
      <x:c r="B16" s="2"/>
      <x:c r="C16" s="22" t="str">
        <x:v>CP-03</x:v>
      </x:c>
      <x:c r="D16" s="22" t="str">
        <x:v>Control</x:v>
      </x:c>
      <x:c r="E16" s="59" t="str">
        <x:v>Establish enforceable lender control over the collateral and custody account.</x:v>
      </x:c>
      <x:c r="F16" s="22" t="str">
        <x:v>Legal / operations</x:v>
      </x:c>
      <x:c r="G16" s="44" t="str">
        <x:v>Outstanding</x:v>
      </x:c>
      <x:c r="H16" s="22" t="str">
        <x:v>Before funding</x:v>
      </x:c>
      <x:c r="I16" s="59" t="str">
        <x:v>Executed control agreement and operating-procedure test</x:v>
      </x:c>
      <x:c r="J16" s="22" t="str">
        <x:v>ASM-C007</x:v>
      </x:c>
      <x:c r="K16" s="22" t="str">
        <x:v>Yes</x:v>
      </x:c>
      <x:c r="L16" s="2"/>
      <x:c r="M16" s="2"/>
      <x:c r="N16" s="2"/>
    </x:row>
    <x:row r="17" ht="40" hidden="0" customHeight="1">
      <x:c r="A17" s="2"/>
      <x:c r="B17" s="2"/>
      <x:c r="C17" s="22" t="str">
        <x:v>CP-04</x:v>
      </x:c>
      <x:c r="D17" s="22" t="str">
        <x:v>Operations</x:v>
      </x:c>
      <x:c r="E17" s="59" t="str">
        <x:v>Test the Base-to-liquidation-to-bank repayment route end to end.</x:v>
      </x:c>
      <x:c r="F17" s="22" t="str">
        <x:v>Operations / treasury</x:v>
      </x:c>
      <x:c r="G17" s="44" t="str">
        <x:v>Outstanding</x:v>
      </x:c>
      <x:c r="H17" s="22" t="str">
        <x:v>Before funding</x:v>
      </x:c>
      <x:c r="I17" s="59" t="str">
        <x:v>Read-only route test with timestamps, fees, and destination confirmation</x:v>
      </x:c>
      <x:c r="J17" s="22" t="str">
        <x:v>ASM-C007</x:v>
      </x:c>
      <x:c r="K17" s="22" t="str">
        <x:v>Yes</x:v>
      </x:c>
      <x:c r="L17" s="2"/>
      <x:c r="M17" s="2"/>
      <x:c r="N17" s="2"/>
    </x:row>
    <x:row r="18" ht="40" hidden="0" customHeight="1">
      <x:c r="A18" s="2"/>
      <x:c r="B18" s="2"/>
      <x:c r="C18" s="22" t="str">
        <x:v>DD-01</x:v>
      </x:c>
      <x:c r="D18" s="22" t="str">
        <x:v>Repayment</x:v>
      </x:c>
      <x:c r="E18" s="59" t="str">
        <x:v>Obtain and reconcile a current 13-week borrowing-entity cash forecast.</x:v>
      </x:c>
      <x:c r="F18" s="22" t="str">
        <x:v>Credit / borrower</x:v>
      </x:c>
      <x:c r="G18" s="44" t="str">
        <x:v>Outstanding</x:v>
      </x:c>
      <x:c r="H18" s="22" t="str">
        <x:v>Before funding</x:v>
      </x:c>
      <x:c r="I18" s="59" t="str">
        <x:v>Forecast-to-bank and forecast-to-historical reconciliation</x:v>
      </x:c>
      <x:c r="J18" s="22" t="str">
        <x:v>ASM-C001</x:v>
      </x:c>
      <x:c r="K18" s="22" t="str">
        <x:v>Yes</x:v>
      </x:c>
      <x:c r="L18" s="2"/>
      <x:c r="M18" s="2"/>
      <x:c r="N18" s="2"/>
    </x:row>
    <x:row r="19" ht="40" hidden="0" customHeight="1">
      <x:c r="A19" s="2"/>
      <x:c r="B19" s="2"/>
      <x:c r="C19" s="22" t="str">
        <x:v>DD-02</x:v>
      </x:c>
      <x:c r="D19" s="22" t="str">
        <x:v>Purpose</x:v>
      </x:c>
      <x:c r="E19" s="59" t="str">
        <x:v>Document facility purpose and a controlled use-of-proceeds schedule.</x:v>
      </x:c>
      <x:c r="F19" s="22" t="str">
        <x:v>Credit / borrower</x:v>
      </x:c>
      <x:c r="G19" s="44" t="str">
        <x:v>Outstanding</x:v>
      </x:c>
      <x:c r="H19" s="22" t="str">
        <x:v>Before funding</x:v>
      </x:c>
      <x:c r="I19" s="59" t="str">
        <x:v>Approved sources-and-uses schedule tied to facility documents</x:v>
      </x:c>
      <x:c r="J19" s="22" t="str">
        <x:v>ASM-C001</x:v>
      </x:c>
      <x:c r="K19" s="22" t="str">
        <x:v>Yes</x:v>
      </x:c>
      <x:c r="L19" s="2"/>
      <x:c r="M19" s="2"/>
      <x:c r="N19" s="2"/>
    </x:row>
    <x:row r="20" ht="40" hidden="0" customHeight="1">
      <x:c r="A20" s="2"/>
      <x:c r="B20" s="2"/>
      <x:c r="C20" s="22" t="str">
        <x:v>DD-03</x:v>
      </x:c>
      <x:c r="D20" s="22" t="str">
        <x:v>Entity</x:v>
      </x:c>
      <x:c r="E20" s="59" t="str">
        <x:v>Map legal-entity cash ownership and transfer restrictions.</x:v>
      </x:c>
      <x:c r="F20" s="22" t="str">
        <x:v>Credit / legal</x:v>
      </x:c>
      <x:c r="G20" s="44" t="str">
        <x:v>Outstanding</x:v>
      </x:c>
      <x:c r="H20" s="22" t="str">
        <x:v>Before funding</x:v>
      </x:c>
      <x:c r="I20" s="59" t="str">
        <x:v>Entity chart, account map, and restriction review</x:v>
      </x:c>
      <x:c r="J20" s="22" t="str">
        <x:v>ASM-C001</x:v>
      </x:c>
      <x:c r="K20" s="22" t="str">
        <x:v>Yes</x:v>
      </x:c>
      <x:c r="L20" s="2"/>
      <x:c r="M20" s="2"/>
      <x:c r="N20" s="2"/>
    </x:row>
    <x:row r="21" ht="40" hidden="0" customHeight="1">
      <x:c r="A21" s="2"/>
      <x:c r="B21" s="2"/>
      <x:c r="C21" s="22" t="str">
        <x:v>DD-04</x:v>
      </x:c>
      <x:c r="D21" s="22" t="str">
        <x:v>Repayment</x:v>
      </x:c>
      <x:c r="E21" s="59" t="str">
        <x:v>Reconcile the complete debt-service and maturity schedule.</x:v>
      </x:c>
      <x:c r="F21" s="22" t="str">
        <x:v>Credit / borrower</x:v>
      </x:c>
      <x:c r="G21" s="44" t="str">
        <x:v>Outstanding</x:v>
      </x:c>
      <x:c r="H21" s="22" t="str">
        <x:v>Before funding</x:v>
      </x:c>
      <x:c r="I21" s="59" t="str">
        <x:v>Debt schedule tied to agreements, filings, and forecast cash flows</x:v>
      </x:c>
      <x:c r="J21" s="22" t="str">
        <x:v>ASM-C001</x:v>
      </x:c>
      <x:c r="K21" s="22" t="str">
        <x:v>Yes</x:v>
      </x:c>
      <x:c r="L21" s="2"/>
      <x:c r="M21" s="2"/>
      <x:c r="N21" s="2"/>
    </x:row>
    <x:row r="22" ht="40" hidden="0" customHeight="1">
      <x:c r="A22" s="2"/>
      <x:c r="B22" s="2"/>
      <x:c r="C22" s="22" t="str">
        <x:v>PF-01</x:v>
      </x:c>
      <x:c r="D22" s="22" t="str">
        <x:v>Portfolio</x:v>
      </x:c>
      <x:c r="E22" s="59" t="str">
        <x:v>Confirm current single-name and shared-risk concentration capacity.</x:v>
      </x:c>
      <x:c r="F22" s="22" t="str">
        <x:v>Portfolio risk</x:v>
      </x:c>
      <x:c r="G22" s="44" t="str">
        <x:v>Outstanding</x:v>
      </x:c>
      <x:c r="H22" s="22" t="str">
        <x:v>Before funding</x:v>
      </x:c>
      <x:c r="I22" s="59" t="str">
        <x:v>Current portfolio report and limit-owner sign-off</x:v>
      </x:c>
      <x:c r="J22" s="22" t="str">
        <x:v>ASM-C005</x:v>
      </x:c>
      <x:c r="K22" s="22" t="str">
        <x:v>Yes</x:v>
      </x:c>
      <x:c r="L22" s="2"/>
      <x:c r="M22" s="2"/>
      <x:c r="N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D10:D10">
    <x:cfRule type="containsText" dxfId="6" priority="1" operator="containsText" text="BLOCKED"/>
  </x:conditionalFormatting>
  <x:conditionalFormatting sqref="G14:G22">
    <x:cfRule type="containsText" dxfId="7" priority="2" operator="containsText" text="Outstanding"/>
  </x:conditionalFormatting>
  <x:dataValidations count="1">
    <x:dataValidation type="list" sqref="G14:G22">
      <x:formula1>"Outstanding,Verified"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38" hidden="0" customWidth="1"/>
    <x:col min="5" max="5" width="19" hidden="0" customWidth="1"/>
    <x:col min="6" max="6" width="19" hidden="0" customWidth="1"/>
    <x:col min="7" max="7" width="19" hidden="0" customWidth="1"/>
    <x:col min="8" max="8" width="35" hidden="0" customWidth="1"/>
    <x:col min="9" max="9" width="14" hidden="0" customWidth="1"/>
    <x:col min="10" max="10" width="34" hidden="0" customWidth="1"/>
    <x:col min="11" max="11" width="14" hidden="0" customWidth="1"/>
    <x:col min="12" max="12" width="31" hidden="0" customWidth="1"/>
    <x:col min="13" max="13" width="18" hidden="0" customWidth="1"/>
    <x:col min="14" max="14" width="25" hidden="0" customWidth="1"/>
    <x:col min="15" max="15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End-to-end control matrix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Pre-funding evidence through monitoring, draft covenant, response authority, and closure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8" t="str">
        <x:v>Control architecture summary</x:v>
      </x:c>
      <x:c r="D6" s="9" t="str"/>
      <x:c r="E6" s="9" t="str"/>
      <x:c r="F6" s="9" t="str"/>
      <x:c r="G6" s="10" t="str"/>
      <x:c r="H6" s="2"/>
      <x:c r="I6" s="2"/>
      <x:c r="J6" s="2"/>
      <x:c r="K6" s="2"/>
      <x:c r="L6" s="2"/>
      <x:c r="M6" s="2"/>
      <x:c r="N6" s="2"/>
    </x:row>
    <x:row r="7" ht="15" hidden="0" customHeight="1">
      <x:c r="A7" s="2"/>
      <x:c r="B7" s="2"/>
      <x:c r="C7" s="21" t="str">
        <x:v>Control chains</x:v>
      </x:c>
      <x:c r="D7" s="2" t="n">
        <x:v>8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15" hidden="0" customHeight="1">
      <x:c r="A8" s="2"/>
      <x:c r="B8" s="2"/>
      <x:c r="C8" s="21" t="str">
        <x:v>Conditions covered</x:v>
      </x:c>
      <x:c r="D8" s="2" t="n">
        <x:v>9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15" hidden="0" customHeight="1">
      <x:c r="A9" s="2"/>
      <x:c r="B9" s="2"/>
      <x:c r="C9" s="21" t="str">
        <x:v>Critical controls</x:v>
      </x:c>
      <x:c r="D9" s="2" t="n">
        <x:v>3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15" hidden="0" customHeight="1">
      <x:c r="A10" s="2"/>
      <x:c r="B10" s="2"/>
      <x:c r="C10" s="21" t="str">
        <x:v>High controls</x:v>
      </x:c>
      <x:c r="D10" s="2" t="n">
        <x:v>4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15" hidden="0" customHeight="1">
      <x:c r="A11" s="2"/>
      <x:c r="B11" s="2"/>
      <x:c r="C11" s="21" t="str">
        <x:v>Controls with outstanding conditions</x:v>
      </x:c>
      <x:c r="D11" s="2" t="n">
        <x:v>8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4" hidden="0" customHeight="1">
      <x:c r="A14" s="2"/>
      <x:c r="B14" s="2"/>
      <x:c r="C14" s="23" t="str">
        <x:v>Control</x:v>
      </x:c>
      <x:c r="D14" s="24" t="str">
        <x:v>Objective</x:v>
      </x:c>
      <x:c r="E14" s="24" t="str">
        <x:v>Conditions</x:v>
      </x:c>
      <x:c r="F14" s="24" t="str">
        <x:v>Condition state</x:v>
      </x:c>
      <x:c r="G14" s="24" t="str">
        <x:v>Monitor</x:v>
      </x:c>
      <x:c r="H14" s="24" t="str">
        <x:v>Metric / threshold</x:v>
      </x:c>
      <x:c r="I14" s="24" t="str">
        <x:v>Covenant</x:v>
      </x:c>
      <x:c r="J14" s="24" t="str">
        <x:v>Cure period</x:v>
      </x:c>
      <x:c r="K14" s="24" t="str">
        <x:v>Playbook</x:v>
      </x:c>
      <x:c r="L14" s="24" t="str">
        <x:v>Severity / response clock</x:v>
      </x:c>
      <x:c r="M14" s="24" t="str">
        <x:v>Draw state</x:v>
      </x:c>
      <x:c r="N14" s="24" t="str">
        <x:v>Decision owner</x:v>
      </x:c>
      <x:c r="O14" s="60" t="str">
        <x:v>Exit criteria</x:v>
      </x:c>
    </x:row>
    <x:row r="15" ht="64" hidden="0" customHeight="1">
      <x:c r="A15" s="2"/>
      <x:c r="B15" s="2"/>
      <x:c r="C15" s="22" t="str">
        <x:v>CTL-01</x:v>
      </x:c>
      <x:c r="D15" s="22" t="str">
        <x:v>Maintain required recovery coverage using eligible and operationally available collateral.</x:v>
      </x:c>
      <x:c r="E15" s="22" t="str">
        <x:v>CP-01, CP-02, CP-03, CP-04</x:v>
      </x:c>
      <x:c r="F15" s="22" t="str">
        <x:v>outstanding</x:v>
      </x:c>
      <x:c r="G15" s="22" t="str">
        <x:v>MON-01</x:v>
      </x:c>
      <x:c r="H15" s="22" t="str">
        <x:v>Collateral coverage at recommended limit | &gt;= 1.25x</x:v>
      </x:c>
      <x:c r="I15" s="22" t="str">
        <x:v>COV-01</x:v>
      </x:c>
      <x:c r="J15" s="22" t="str">
        <x:v>one business day by cash repayment or eligible collateral top-up</x:v>
      </x:c>
      <x:c r="K15" s="22" t="str">
        <x:v>ESC-01</x:v>
      </x:c>
      <x:c r="L15" s="22" t="str">
        <x:v>critical | immediate; same-day decision</x:v>
      </x:c>
      <x:c r="M15" s="22" t="str">
        <x:v>blocked</x:v>
      </x:c>
      <x:c r="N15" s="22" t="str">
        <x:v>Head of credit risk</x:v>
      </x:c>
      <x:c r="O15" s="61" t="str">
        <x:v>Coverage is restored to at least 1.25x and independently reconciled</x:v>
      </x:c>
    </x:row>
    <x:row r="16" ht="64" hidden="0" customHeight="1">
      <x:c r="A16" s="2"/>
      <x:c r="B16" s="2"/>
      <x:c r="C16" s="22" t="str">
        <x:v>CTL-02</x:v>
      </x:c>
      <x:c r="D16" s="22" t="str">
        <x:v>Preserve ownership, priority, enforceability, and lender control.</x:v>
      </x:c>
      <x:c r="E16" s="22" t="str">
        <x:v>CP-01, CP-02, CP-03</x:v>
      </x:c>
      <x:c r="F16" s="22" t="str">
        <x:v>outstanding</x:v>
      </x:c>
      <x:c r="G16" s="22" t="str">
        <x:v>MON-02</x:v>
      </x:c>
      <x:c r="H16" s="22" t="str">
        <x:v>Collateral ownership, priority, and control | all verified</x:v>
      </x:c>
      <x:c r="I16" s="22" t="str">
        <x:v>COV-02</x:v>
      </x:c>
      <x:c r="J16" s="22" t="str">
        <x:v>no draw availability during any deficiency</x:v>
      </x:c>
      <x:c r="K16" s="22" t="str">
        <x:v>ESC-02</x:v>
      </x:c>
      <x:c r="L16" s="22" t="str">
        <x:v>critical | immediate; no funding</x:v>
      </x:c>
      <x:c r="M16" s="22" t="str">
        <x:v>blocked</x:v>
      </x:c>
      <x:c r="N16" s="22" t="str">
        <x:v>Credit and legal jointly</x:v>
      </x:c>
      <x:c r="O16" s="61" t="str">
        <x:v>Ownership, first priority, enforceability, and lender control are all verified</x:v>
      </x:c>
    </x:row>
    <x:row r="17" ht="64" hidden="0" customHeight="1">
      <x:c r="A17" s="2"/>
      <x:c r="B17" s="2"/>
      <x:c r="C17" s="22" t="str">
        <x:v>CTL-03</x:v>
      </x:c>
      <x:c r="D17" s="22" t="str">
        <x:v>Keep the collateral-to-bank repayment route tested and within the approved time.</x:v>
      </x:c>
      <x:c r="E17" s="22" t="str">
        <x:v>CP-04</x:v>
      </x:c>
      <x:c r="F17" s="22" t="str">
        <x:v>outstanding</x:v>
      </x:c>
      <x:c r="G17" s="22" t="str">
        <x:v>MON-03</x:v>
      </x:c>
      <x:c r="H17" s="22" t="str">
        <x:v>Base-to-cash route test | &lt;= 4 hours end to end</x:v>
      </x:c>
      <x:c r="I17" s="22" t="str">
        <x:v>COV-03</x:v>
      </x:c>
      <x:c r="J17" s="22" t="str">
        <x:v>availability suspended until a successful test</x:v>
      </x:c>
      <x:c r="K17" s="22" t="str">
        <x:v>ESC-03</x:v>
      </x:c>
      <x:c r="L17" s="22" t="str">
        <x:v>high | same business day</x:v>
      </x:c>
      <x:c r="M17" s="22" t="str">
        <x:v>suspended</x:v>
      </x:c>
      <x:c r="N17" s="22" t="str">
        <x:v>Collateral operations lead</x:v>
      </x:c>
      <x:c r="O17" s="61" t="str">
        <x:v>A complete route test finishes within four hours with reconciled proceeds</x:v>
      </x:c>
    </x:row>
    <x:row r="18" ht="64" hidden="0" customHeight="1">
      <x:c r="A18" s="2"/>
      <x:c r="B18" s="2"/>
      <x:c r="C18" s="22" t="str">
        <x:v>CTL-04</x:v>
      </x:c>
      <x:c r="D18" s="22" t="str">
        <x:v>Maintain borrowing-entity liquidity available for primary repayment.</x:v>
      </x:c>
      <x:c r="E18" s="22" t="str">
        <x:v>DD-01, DD-03</x:v>
      </x:c>
      <x:c r="F18" s="22" t="str">
        <x:v>outstanding</x:v>
      </x:c>
      <x:c r="G18" s="22" t="str">
        <x:v>MON-04</x:v>
      </x:c>
      <x:c r="H18" s="22" t="str">
        <x:v>Borrowing-entity unrestricted cash | &gt;= $25 million</x:v>
      </x:c>
      <x:c r="I18" s="22" t="str">
        <x:v>COV-04</x:v>
      </x:c>
      <x:c r="J18" s="22" t="str">
        <x:v>five business days to deliver a remediation plan; availability remains frozen</x:v>
      </x:c>
      <x:c r="K18" s="22" t="str">
        <x:v>ESC-04</x:v>
      </x:c>
      <x:c r="L18" s="22" t="str">
        <x:v>high | within five business days</x:v>
      </x:c>
      <x:c r="M18" s="22" t="str">
        <x:v>frozen</x:v>
      </x:c>
      <x:c r="N18" s="22" t="str">
        <x:v>Senior credit officer</x:v>
      </x:c>
      <x:c r="O18" s="61" t="str">
        <x:v>Unrestricted cash is at least $25 million or a documented waiver is approved</x:v>
      </x:c>
    </x:row>
    <x:row r="19" ht="64" hidden="0" customHeight="1">
      <x:c r="A19" s="2"/>
      <x:c r="B19" s="2"/>
      <x:c r="C19" s="22" t="str">
        <x:v>CTL-05</x:v>
      </x:c>
      <x:c r="D19" s="22" t="str">
        <x:v>Detect deterioration against the approved operating cash forecast and use of proceeds.</x:v>
      </x:c>
      <x:c r="E19" s="22" t="str">
        <x:v>DD-01, DD-02</x:v>
      </x:c>
      <x:c r="F19" s="22" t="str">
        <x:v>outstanding</x:v>
      </x:c>
      <x:c r="G19" s="22" t="str">
        <x:v>MON-05</x:v>
      </x:c>
      <x:c r="H19" s="22" t="str">
        <x:v>Operating cash generation variance | no &gt;20% adverse variance to approved forecast</x:v>
      </x:c>
      <x:c r="I19" s="22" t="str">
        <x:v>COV-05</x:v>
      </x:c>
      <x:c r="J19" s="22" t="str">
        <x:v>five business days to provide an updated forecast and action plan</x:v>
      </x:c>
      <x:c r="K19" s="22" t="str">
        <x:v>ESC-05</x:v>
      </x:c>
      <x:c r="L19" s="22" t="str">
        <x:v>moderate | next scheduled review; immediate if runway is affected</x:v>
      </x:c>
      <x:c r="M19" s="22" t="str">
        <x:v>review required</x:v>
      </x:c>
      <x:c r="N19" s="22" t="str">
        <x:v>Credit risk manager</x:v>
      </x:c>
      <x:c r="O19" s="61" t="str">
        <x:v>Rating and repayment analysis are refreshed and the decision owner accepts the remediation plan</x:v>
      </x:c>
    </x:row>
    <x:row r="20" ht="64" hidden="0" customHeight="1">
      <x:c r="A20" s="2"/>
      <x:c r="B20" s="2"/>
      <x:c r="C20" s="22" t="str">
        <x:v>CTL-06</x:v>
      </x:c>
      <x:c r="D20" s="22" t="str">
        <x:v>Prevent unapproved secured debt or liens from weakening repayment or priority.</x:v>
      </x:c>
      <x:c r="E20" s="22" t="str">
        <x:v>CP-02, DD-04</x:v>
      </x:c>
      <x:c r="F20" s="22" t="str">
        <x:v>outstanding</x:v>
      </x:c>
      <x:c r="G20" s="22" t="str">
        <x:v>MON-06</x:v>
      </x:c>
      <x:c r="H20" s="22" t="str">
        <x:v>Additional secured debt or lien creation | $0 without lender consent</x:v>
      </x:c>
      <x:c r="I20" s="22" t="str">
        <x:v>COV-06</x:v>
      </x:c>
      <x:c r="J20" s="22" t="str">
        <x:v>none unless expressly waived in writing</x:v>
      </x:c>
      <x:c r="K20" s="22" t="str">
        <x:v>ESC-06</x:v>
      </x:c>
      <x:c r="L20" s="22" t="str">
        <x:v>critical | immediate; same-day legal review</x:v>
      </x:c>
      <x:c r="M20" s="22" t="str">
        <x:v>blocked</x:v>
      </x:c>
      <x:c r="N20" s="22" t="str">
        <x:v>Credit and legal jointly</x:v>
      </x:c>
      <x:c r="O20" s="61" t="str">
        <x:v>The lien is released or subordinated, or an authorized written waiver is effective</x:v>
      </x:c>
    </x:row>
    <x:row r="21" ht="64" hidden="0" customHeight="1">
      <x:c r="A21" s="2"/>
      <x:c r="B21" s="2"/>
      <x:c r="C21" s="22" t="str">
        <x:v>CTL-07</x:v>
      </x:c>
      <x:c r="D21" s="22" t="str">
        <x:v>Keep the facility within single-name and shared-risk concentration capacity.</x:v>
      </x:c>
      <x:c r="E21" s="22" t="str">
        <x:v>PF-01</x:v>
      </x:c>
      <x:c r="F21" s="22" t="str">
        <x:v>outstanding</x:v>
      </x:c>
      <x:c r="G21" s="22" t="str">
        <x:v>MON-07</x:v>
      </x:c>
      <x:c r="H21" s="22" t="str">
        <x:v>USDC collateral concentration headroom | &gt;= $0</x:v>
      </x:c>
      <x:c r="I21" s="22" t="str">
        <x:v>COV-07</x:v>
      </x:c>
      <x:c r="J21" s="22" t="str">
        <x:v>no draw may create or increase a breach</x:v>
      </x:c>
      <x:c r="K21" s="22" t="str">
        <x:v>ESC-07</x:v>
      </x:c>
      <x:c r="L21" s="22" t="str">
        <x:v>high | before draw approval</x:v>
      </x:c>
      <x:c r="M21" s="22" t="str">
        <x:v>rejected</x:v>
      </x:c>
      <x:c r="N21" s="22" t="str">
        <x:v>Portfolio risk lead</x:v>
      </x:c>
      <x:c r="O21" s="61" t="str">
        <x:v>Pro forma concentration headroom is non-negative after the approved draw amount</x:v>
      </x:c>
    </x:row>
    <x:row r="22" ht="64" hidden="0" customHeight="1">
      <x:c r="A22" s="2"/>
      <x:c r="B22" s="2"/>
      <x:c r="C22" s="22" t="str">
        <x:v>CTL-08</x:v>
      </x:c>
      <x:c r="D22" s="22" t="str">
        <x:v>Ensure complete and timely financial, collateral, and covenant reporting.</x:v>
      </x:c>
      <x:c r="E22" s="22" t="str">
        <x:v>DD-01, DD-02, DD-03, DD-04</x:v>
      </x:c>
      <x:c r="F22" s="22" t="str">
        <x:v>outstanding</x:v>
      </x:c>
      <x:c r="G22" s="22" t="str">
        <x:v>MON-08</x:v>
      </x:c>
      <x:c r="H22" s="22" t="str">
        <x:v>Financial and collateral reporting delivery | within 15 business days after month end</x:v>
      </x:c>
      <x:c r="I22" s="22" t="str">
        <x:v>COV-08</x:v>
      </x:c>
      <x:c r="J22" s="22" t="str">
        <x:v>five business days after notice</x:v>
      </x:c>
      <x:c r="K22" s="22" t="str">
        <x:v>ESC-08</x:v>
      </x:c>
      <x:c r="L22" s="22" t="str">
        <x:v>high | within five business days after notice</x:v>
      </x:c>
      <x:c r="M22" s="22" t="str">
        <x:v>blocked</x:v>
      </x:c>
      <x:c r="N22" s="22" t="str">
        <x:v>Credit administration lead</x:v>
      </x:c>
      <x:c r="O22" s="61" t="str">
        <x:v>The reporting package is complete, reconciled, and accepted by credit administration</x:v>
      </x:c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54" hidden="0" customHeight="1">
      <x:c r="A25" s="2"/>
      <x:c r="B25" s="2"/>
      <x:c r="C25" s="21" t="str">
        <x:v>Method limit</x:v>
      </x:c>
      <x:c r="D25" s="22" t="str">
        <x:v>Illustrative control architecture only. Mappings describe intended governance coverage; they do not evidence completed conditions, active monitoring, executed covenants, observed breaches, or Coinbase policy.</x:v>
      </x:c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61" t="str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F15:F22">
    <x:cfRule type="containsText" dxfId="10" priority="1" operator="containsText" text="outstanding"/>
  </x:conditionalFormatting>
  <x:conditionalFormatting sqref="M15:M22">
    <x:cfRule type="containsText" dxfId="11" priority="2" operator="containsText" text="block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18" hidden="0" customWidth="1"/>
    <x:col min="5" max="5" width="44" hidden="0" customWidth="1"/>
    <x:col min="6" max="6" width="15" hidden="0" customWidth="1"/>
    <x:col min="7" max="7" width="15" hidden="0" customWidth="1"/>
    <x:col min="8" max="8" width="28" hidden="0" customWidth="1"/>
    <x:col min="9" max="9" width="23" hidden="0" customWidth="1"/>
    <x:col min="10" max="10" width="23" hidden="0" customWidth="1"/>
    <x:col min="11" max="11" width="46" hidden="0" customWidth="1"/>
    <x:col min="12" max="12" width="46" hidden="0" customWidth="1"/>
    <x:col min="13" max="13" width="15" hidden="0" customWidth="1"/>
    <x:col min="14" max="14" width="26" hidden="0" customWidth="1"/>
    <x:col min="15" max="15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Model-risk register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Known limitations remain open until their required evidence is independently reviewed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8" t="str">
        <x:v>Risk posture summary</x:v>
      </x:c>
      <x:c r="D6" s="9" t="str"/>
      <x:c r="E6" s="9" t="str"/>
      <x:c r="F6" s="10" t="str"/>
      <x:c r="G6" s="2"/>
      <x:c r="H6" s="2"/>
      <x:c r="I6" s="2"/>
      <x:c r="J6" s="2"/>
      <x:c r="K6" s="2"/>
      <x:c r="L6" s="2"/>
      <x:c r="M6" s="2"/>
      <x:c r="N6" s="2"/>
    </x:row>
    <x:row r="7" ht="15" hidden="0" customHeight="1">
      <x:c r="A7" s="2"/>
      <x:c r="B7" s="2"/>
      <x:c r="C7" s="21" t="str">
        <x:v>Open risks</x:v>
      </x:c>
      <x:c r="D7" s="2" t="n">
        <x:f>COUNTIF(G15:G22,"open")</x:f>
        <x:v>8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15" hidden="0" customHeight="1">
      <x:c r="A8" s="2"/>
      <x:c r="B8" s="2"/>
      <x:c r="C8" s="21" t="str">
        <x:v>Critical risks</x:v>
      </x:c>
      <x:c r="D8" s="2" t="n">
        <x:f>COUNTIF(F15:F22,"critical")</x:f>
        <x:v>3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15" hidden="0" customHeight="1">
      <x:c r="A9" s="2"/>
      <x:c r="B9" s="2"/>
      <x:c r="C9" s="21" t="str">
        <x:v>High risks</x:v>
      </x:c>
      <x:c r="D9" s="2" t="n">
        <x:f>COUNTIF(F15:F22,"high")</x:f>
        <x:v>4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15" hidden="0" customHeight="1">
      <x:c r="A10" s="2"/>
      <x:c r="B10" s="2"/>
      <x:c r="C10" s="21" t="str">
        <x:v>Decision-blocking risks</x:v>
      </x:c>
      <x:c r="D10" s="2" t="n">
        <x:f>COUNTIF(C15:C22,"MR-01")+COUNTIF(C15:C22,"MR-02")+COUNTIF(C15:C22,"MR-03")+COUNTIF(C15:C22,"MR-07")</x:f>
        <x:v>4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15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36" hidden="0" customHeight="1">
      <x:c r="A14" s="2"/>
      <x:c r="B14" s="2"/>
      <x:c r="C14" s="23" t="str">
        <x:v>Risk ID</x:v>
      </x:c>
      <x:c r="D14" s="24" t="str">
        <x:v>Category</x:v>
      </x:c>
      <x:c r="E14" s="24" t="str">
        <x:v>Risk</x:v>
      </x:c>
      <x:c r="F14" s="24" t="str">
        <x:v>Severity</x:v>
      </x:c>
      <x:c r="G14" s="24" t="str">
        <x:v>Status</x:v>
      </x:c>
      <x:c r="H14" s="24" t="str">
        <x:v>Affected decision</x:v>
      </x:c>
      <x:c r="I14" s="24" t="str">
        <x:v>Linked assumptions</x:v>
      </x:c>
      <x:c r="J14" s="24" t="str">
        <x:v>Linked conditions</x:v>
      </x:c>
      <x:c r="K14" s="24" t="str">
        <x:v>Mitigation</x:v>
      </x:c>
      <x:c r="L14" s="24" t="str">
        <x:v>Validation evidence</x:v>
      </x:c>
      <x:c r="M14" s="24" t="str">
        <x:v>Residual risk</x:v>
      </x:c>
      <x:c r="N14" s="24" t="str">
        <x:v>Owner</x:v>
      </x:c>
      <x:c r="O14" s="60" t="str">
        <x:v>Disposition if unresolved</x:v>
      </x:c>
    </x:row>
    <x:row r="15" ht="62" hidden="0" customHeight="1">
      <x:c r="A15" s="2"/>
      <x:c r="B15" s="2"/>
      <x:c r="C15" s="22" t="str">
        <x:v>MR-01</x:v>
      </x:c>
      <x:c r="D15" s="22" t="str">
        <x:v>input</x:v>
      </x:c>
      <x:c r="E15" s="22" t="str">
        <x:v>Synthetic collateral quantity and costs drive the binding cap.</x:v>
      </x:c>
      <x:c r="F15" s="22" t="str">
        <x:v>critical</x:v>
      </x:c>
      <x:c r="G15" s="22" t="str">
        <x:v>open</x:v>
      </x:c>
      <x:c r="H15" s="22" t="str">
        <x:v>recommended commitment</x:v>
      </x:c>
      <x:c r="I15" s="22" t="str">
        <x:v>ASM-C002, ASM-C003</x:v>
      </x:c>
      <x:c r="J15" s="22" t="str">
        <x:v>CP-01, CP-02, CP-03, CP-04</x:v>
      </x:c>
      <x:c r="K15" s="22" t="str">
        <x:v>Replace simulated terms with executed collateral, custody, and route evidence; rerun every scenario.</x:v>
      </x:c>
      <x:c r="L15" s="22" t="str">
        <x:v>Executed term sheet, verified custody statement, control documents, and route test.</x:v>
      </x:c>
      <x:c r="M15" s="22" t="str">
        <x:v>high</x:v>
      </x:c>
      <x:c r="N15" s="22" t="str">
        <x:v>Credit and collateral operations</x:v>
      </x:c>
      <x:c r="O15" s="61" t="str">
        <x:v>Treat the cap as methodology only and do not fund.</x:v>
      </x:c>
    </x:row>
    <x:row r="16" ht="62" hidden="0" customHeight="1">
      <x:c r="A16" s="2"/>
      <x:c r="B16" s="2"/>
      <x:c r="C16" s="22" t="str">
        <x:v>MR-02</x:v>
      </x:c>
      <x:c r="D16" s="22" t="str">
        <x:v>repayment</x:v>
      </x:c>
      <x:c r="E16" s="22" t="str">
        <x:v>Public liquidity is not a borrowing-entity cash forecast or primary repayment proof.</x:v>
      </x:c>
      <x:c r="F16" s="22" t="str">
        <x:v>critical</x:v>
      </x:c>
      <x:c r="G16" s="22" t="str">
        <x:v>open</x:v>
      </x:c>
      <x:c r="H16" s="22" t="str">
        <x:v>approval route and obligor cap</x:v>
      </x:c>
      <x:c r="I16" s="22" t="str">
        <x:v>ASM-C001, ASM-C004</x:v>
      </x:c>
      <x:c r="J16" s="22" t="str">
        <x:v>DD-01, DD-02, DD-03, DD-04</x:v>
      </x:c>
      <x:c r="K16" s="22" t="str">
        <x:v>Reconcile a 13-week forecast, legal-entity cash map, facility purpose, and debt-service schedule.</x:v>
      </x:c>
      <x:c r="L16" s="22" t="str">
        <x:v>Borrower forecast tied to banks, historical results, debt agreements, and approved sources and uses.</x:v>
      </x:c>
      <x:c r="M16" s="22" t="str">
        <x:v>high</x:v>
      </x:c>
      <x:c r="N16" s="22" t="str">
        <x:v>Senior credit officer</x:v>
      </x:c>
      <x:c r="O16" s="61" t="str">
        <x:v>Decline on the present record.</x:v>
      </x:c>
    </x:row>
    <x:row r="17" ht="62" hidden="0" customHeight="1">
      <x:c r="A17" s="2"/>
      <x:c r="B17" s="2"/>
      <x:c r="C17" s="22" t="str">
        <x:v>MR-03</x:v>
      </x:c>
      <x:c r="D17" s="22" t="str">
        <x:v>legal</x:v>
      </x:c>
      <x:c r="E17" s="22" t="str">
        <x:v>The model cannot establish ownership, priority, perfection, control, or remedy enforceability.</x:v>
      </x:c>
      <x:c r="F17" s="22" t="str">
        <x:v>critical</x:v>
      </x:c>
      <x:c r="G17" s="22" t="str">
        <x:v>open</x:v>
      </x:c>
      <x:c r="H17" s="22" t="str">
        <x:v>collateral eligibility and funding gate</x:v>
      </x:c>
      <x:c r="I17" s="22" t="str">
        <x:v>ASM-C007</x:v>
      </x:c>
      <x:c r="J17" s="22" t="str">
        <x:v>CP-01, CP-02, CP-03</x:v>
      </x:c>
      <x:c r="K17" s="22" t="str">
        <x:v>Obtain legal confirmation and independently verify the complete control package.</x:v>
      </x:c>
      <x:c r="L17" s="22" t="str">
        <x:v>Clear lien search, executed security and control agreements, and counsel confirmation.</x:v>
      </x:c>
      <x:c r="M17" s="22" t="str">
        <x:v>high</x:v>
      </x:c>
      <x:c r="N17" s="22" t="str">
        <x:v>Legal</x:v>
      </x:c>
      <x:c r="O17" s="61" t="str">
        <x:v>Assign zero collateral credit and block funding.</x:v>
      </x:c>
    </x:row>
    <x:row r="18" ht="62" hidden="0" customHeight="1">
      <x:c r="A18" s="2"/>
      <x:c r="B18" s="2"/>
      <x:c r="C18" s="22" t="str">
        <x:v>MR-04</x:v>
      </x:c>
      <x:c r="D18" s="22" t="str">
        <x:v>market_data</x:v>
      </x:c>
      <x:c r="E18" s="22" t="str">
        <x:v>Daily candles and assumed costs do not establish stressed executable depth.</x:v>
      </x:c>
      <x:c r="F18" s="22" t="str">
        <x:v>high</x:v>
      </x:c>
      <x:c r="G18" s="22" t="str">
        <x:v>open</x:v>
      </x:c>
      <x:c r="H18" s="22" t="str">
        <x:v>liquidation proceeds</x:v>
      </x:c>
      <x:c r="I18" s="22" t="str">
        <x:v>ASM-C003</x:v>
      </x:c>
      <x:c r="J18" s="22" t="str">
        <x:v>CP-04</x:v>
      </x:c>
      <x:c r="K18" s="22" t="str">
        <x:v>Obtain venue-specific stressed depth, slippage, fee, and settlement evidence for the actual route.</x:v>
      </x:c>
      <x:c r="L18" s="22" t="str">
        <x:v>Timestamped depth studies and reconciled execution tests across declared stress sizes.</x:v>
      </x:c>
      <x:c r="M18" s="22" t="str">
        <x:v>medium</x:v>
      </x:c>
      <x:c r="N18" s="22" t="str">
        <x:v>Market risk and collateral operations</x:v>
      </x:c>
      <x:c r="O18" s="61" t="str">
        <x:v>Retain conservative sensitivities and prohibit claims of executable recovery value.</x:v>
      </x:c>
    </x:row>
    <x:row r="19" ht="62" hidden="0" customHeight="1">
      <x:c r="A19" s="2"/>
      <x:c r="B19" s="2"/>
      <x:c r="C19" s="22" t="str">
        <x:v>MR-05</x:v>
      </x:c>
      <x:c r="D19" s="22" t="str">
        <x:v>methodology</x:v>
      </x:c>
      <x:c r="E19" s="22" t="str">
        <x:v>The ordinal rating is judgmental and not calibrated to default probability or loss.</x:v>
      </x:c>
      <x:c r="F19" s="22" t="str">
        <x:v>high</x:v>
      </x:c>
      <x:c r="G19" s="22" t="str">
        <x:v>open</x:v>
      </x:c>
      <x:c r="H19" s="22" t="str">
        <x:v>internal risk characterization</x:v>
      </x:c>
      <x:c r="I19" s="22" t="str">
        <x:v>ASM-C004</x:v>
      </x:c>
      <x:c r="J19" s="22" t="str">
        <x:v>DD-01, DD-03, DD-04</x:v>
      </x:c>
      <x:c r="K19" s="22" t="str">
        <x:v>Independent credit review of factor definitions, weights, evidence, and override policy.</x:v>
      </x:c>
      <x:c r="L19" s="22" t="str">
        <x:v>Dated reviewer challenge with documented changes or accepted disagreement.</x:v>
      </x:c>
      <x:c r="M19" s="22" t="str">
        <x:v>medium</x:v>
      </x:c>
      <x:c r="N19" s="22" t="str">
        <x:v>Credit methodology</x:v>
      </x:c>
      <x:c r="O19" s="61" t="str">
        <x:v>Use only as a transparent qualitative bridge, never as a calibrated rating.</x:v>
      </x:c>
    </x:row>
    <x:row r="20" ht="62" hidden="0" customHeight="1">
      <x:c r="A20" s="2"/>
      <x:c r="B20" s="2"/>
      <x:c r="C20" s="22" t="str">
        <x:v>MR-06</x:v>
      </x:c>
      <x:c r="D20" s="22" t="str">
        <x:v>portfolio</x:v>
      </x:c>
      <x:c r="E20" s="22" t="str">
        <x:v>Invented exposures demonstrate concentration mechanics but not actual portfolio capacity.</x:v>
      </x:c>
      <x:c r="F20" s="22" t="str">
        <x:v>high</x:v>
      </x:c>
      <x:c r="G20" s="22" t="str">
        <x:v>open</x:v>
      </x:c>
      <x:c r="H20" s="22" t="str">
        <x:v>portfolio and shared-risk caps</x:v>
      </x:c>
      <x:c r="I20" s="22" t="str">
        <x:v>ASM-C005</x:v>
      </x:c>
      <x:c r="J20" s="22" t="str">
        <x:v>PF-01</x:v>
      </x:c>
      <x:c r="K20" s="22" t="str">
        <x:v>Load the current approved exposure inventory and obtain limit-owner sign-off.</x:v>
      </x:c>
      <x:c r="L20" s="22" t="str">
        <x:v>Current portfolio report reconciled to limits and approved by portfolio risk.</x:v>
      </x:c>
      <x:c r="M20" s="22" t="str">
        <x:v>medium</x:v>
      </x:c>
      <x:c r="N20" s="22" t="str">
        <x:v>Portfolio risk</x:v>
      </x:c>
      <x:c r="O20" s="61" t="str">
        <x:v>Do not allocate portfolio capacity or rely on the modeled concentration cap.</x:v>
      </x:c>
    </x:row>
    <x:row r="21" ht="62" hidden="0" customHeight="1">
      <x:c r="A21" s="2"/>
      <x:c r="B21" s="2"/>
      <x:c r="C21" s="22" t="str">
        <x:v>MR-07</x:v>
      </x:c>
      <x:c r="D21" s="22" t="str">
        <x:v>operations</x:v>
      </x:c>
      <x:c r="E21" s="22" t="str">
        <x:v>Modeled Base-to-cash timing may not represent the approved production route.</x:v>
      </x:c>
      <x:c r="F21" s="22" t="str">
        <x:v>high</x:v>
      </x:c>
      <x:c r="G21" s="22" t="str">
        <x:v>open</x:v>
      </x:c>
      <x:c r="H21" s="22" t="str">
        <x:v>availability before obligation date</x:v>
      </x:c>
      <x:c r="I21" s="22" t="str">
        <x:v>ASM-C006</x:v>
      </x:c>
      <x:c r="J21" s="22" t="str">
        <x:v>CP-04</x:v>
      </x:c>
      <x:c r="K21" s="22" t="str">
        <x:v>Execute an end-to-end read-only route test with timestamps, fees, destination, and exception handling.</x:v>
      </x:c>
      <x:c r="L21" s="22" t="str">
        <x:v>Approved route runbook and successful independently observed test.</x:v>
      </x:c>
      <x:c r="M21" s="22" t="str">
        <x:v>medium</x:v>
      </x:c>
      <x:c r="N21" s="22" t="str">
        <x:v>Treasury and operations</x:v>
      </x:c>
      <x:c r="O21" s="61" t="str">
        <x:v>Set route availability to false and decline.</x:v>
      </x:c>
    </x:row>
    <x:row r="22" ht="62" hidden="0" customHeight="1">
      <x:c r="A22" s="2"/>
      <x:c r="B22" s="2"/>
      <x:c r="C22" s="22" t="str">
        <x:v>MR-08</x:v>
      </x:c>
      <x:c r="D22" s="22" t="str">
        <x:v>implementation</x:v>
      </x:c>
      <x:c r="E22" s="22" t="str">
        <x:v>OOXML formula inspection is not native Excel recalculation or independent code review.</x:v>
      </x:c>
      <x:c r="F22" s="22" t="str">
        <x:v>medium</x:v>
      </x:c>
      <x:c r="G22" s="22" t="str">
        <x:v>open</x:v>
      </x:c>
      <x:c r="H22" s="22" t="str">
        <x:v>implementation assurance</x:v>
      </x:c>
      <x:c r="I22" s="22" t="str">
        <x:v>None</x:v>
      </x:c>
      <x:c r="J22" s="22" t="str">
        <x:v>None</x:v>
      </x:c>
      <x:c r="K22" s="22" t="str">
        <x:v>Recalculate in a native spreadsheet engine and independently reproduce one decision case.</x:v>
      </x:c>
      <x:c r="L22" s="22" t="str">
        <x:v>Signed reproduction worksheet, native recalculation log, and resolved discrepancy record.</x:v>
      </x:c>
      <x:c r="M22" s="22" t="str">
        <x:v>low</x:v>
      </x:c>
      <x:c r="N22" s="22" t="str">
        <x:v>Independent model reviewer</x:v>
      </x:c>
      <x:c r="O22" s="61" t="str">
        <x:v>Keep the package locally verified but not ready to share.</x:v>
      </x:c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4" hidden="0" customHeight="1">
      <x:c r="A25" s="2"/>
      <x:c r="B25" s="2"/>
      <x:c r="C25" s="21" t="str">
        <x:v>Method limit</x:v>
      </x:c>
      <x:c r="D25" s="26" t="str">
        <x:v>This register governs known model and evidence limitations; it does not prove legal sufficiency, validate private borrower information, or replace independent model review.</x:v>
      </x:c>
      <x:c r="E25" s="26" t="str"/>
      <x:c r="F25" s="26" t="str"/>
      <x:c r="G25" s="26" t="str"/>
      <x:c r="H25" s="26" t="str"/>
      <x:c r="I25" s="26" t="str"/>
      <x:c r="J25" s="26" t="str"/>
      <x:c r="K25" s="26" t="str"/>
      <x:c r="L25" s="26" t="str"/>
      <x:c r="M25" s="26" t="str"/>
      <x:c r="N25" s="26" t="str"/>
      <x:c r="O25" s="62" t="str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E15:E22">
    <x:cfRule type="containsText" dxfId="8" priority="1" operator="containsText" text="critical"/>
  </x:conditionalFormatting>
  <x:conditionalFormatting sqref="F15:F22">
    <x:cfRule type="containsText" dxfId="9" priority="2" operator="containsText" text="open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C55A1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15" hidden="0" customWidth="1"/>
    <x:col min="5" max="5" width="44" hidden="0" customWidth="1"/>
    <x:col min="6" max="6" width="22" hidden="0" customWidth="1"/>
    <x:col min="7" max="7" width="22" hidden="0" customWidth="1"/>
    <x:col min="8" max="8" width="22" hidden="0" customWidth="1"/>
    <x:col min="9" max="9" width="28" hidden="0" customWidth="1"/>
    <x:col min="10" max="10" width="42" hidden="0" customWidth="1"/>
    <x:col min="11" max="11" width="42" hidden="0" customWidth="1"/>
    <x:col min="12" max="12" width="28" hidden="0" customWidth="1"/>
    <x:col min="13" max="13" width="13" hidden="0" customWidth="1"/>
    <x:col min="14" max="14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Illustrative covenant package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Draft control terms only; not executed, legally reviewed, or Coinbase policy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23" t="str">
        <x:v>ID</x:v>
      </x:c>
      <x:c r="D6" s="24" t="str">
        <x:v>Type</x:v>
      </x:c>
      <x:c r="E6" s="24" t="str">
        <x:v>Requirement</x:v>
      </x:c>
      <x:c r="F6" s="24" t="str">
        <x:v>Threshold</x:v>
      </x:c>
      <x:c r="G6" s="24" t="str">
        <x:v>Current evidence</x:v>
      </x:c>
      <x:c r="H6" s="24" t="str">
        <x:v>Status</x:v>
      </x:c>
      <x:c r="I6" s="24" t="str">
        <x:v>Frequency</x:v>
      </x:c>
      <x:c r="J6" s="24" t="str">
        <x:v>Cure period</x:v>
      </x:c>
      <x:c r="K6" s="24" t="str">
        <x:v>Breach consequence</x:v>
      </x:c>
      <x:c r="L6" s="24" t="str">
        <x:v>Owner</x:v>
      </x:c>
      <x:c r="M6" s="25" t="str">
        <x:v>Monitor</x:v>
      </x:c>
      <x:c r="N6" s="2"/>
    </x:row>
    <x:row r="7" ht="54" hidden="0" customHeight="1">
      <x:c r="A7" s="2"/>
      <x:c r="B7" s="2"/>
      <x:c r="C7" s="22" t="str">
        <x:v>COV-01</x:v>
      </x:c>
      <x:c r="D7" s="22" t="str">
        <x:v>maintenance</x:v>
      </x:c>
      <x:c r="E7" s="22" t="str">
        <x:v>Maintain stressed collateral coverage at or above the required coverage ratio.</x:v>
      </x:c>
      <x:c r="F7" s="22" t="str">
        <x:v>&gt;= 1.25x</x:v>
      </x:c>
      <x:c r="G7" s="65" t="n">
        <x:f>'Monitoring'!F7</x:f>
        <x:v>1.269049180327869</x:v>
      </x:c>
      <x:c r="H7" s="66" t="str">
        <x:f>'Monitoring'!G7</x:f>
        <x:v>PASS PROJECTION</x:v>
      </x:c>
      <x:c r="I7" s="22" t="str">
        <x:v>continuous and before each draw</x:v>
      </x:c>
      <x:c r="J7" s="22" t="str">
        <x:v>one business day by cash repayment or eligible collateral top-up</x:v>
      </x:c>
      <x:c r="K7" s="22" t="str">
        <x:v>Block new draws and require cure; escalate unresolved deficiency for default or waiver analysis.</x:v>
      </x:c>
      <x:c r="L7" s="22" t="str">
        <x:v>Credit risk and collateral operations</x:v>
      </x:c>
      <x:c r="M7" s="22" t="str">
        <x:v>MON-01</x:v>
      </x:c>
      <x:c r="N7" s="2"/>
    </x:row>
    <x:row r="8" ht="54" hidden="0" customHeight="1">
      <x:c r="A8" s="2"/>
      <x:c r="B8" s="2"/>
      <x:c r="C8" s="22" t="str">
        <x:v>COV-02</x:v>
      </x:c>
      <x:c r="D8" s="22" t="str">
        <x:v>negative</x:v>
      </x:c>
      <x:c r="E8" s="22" t="str">
        <x:v>Preserve verified ownership, first priority, and enforceable lender control over eligible collateral.</x:v>
      </x:c>
      <x:c r="F8" s="22" t="str">
        <x:v>all elements verified continuously</x:v>
      </x:c>
      <x:c r="G8" s="67" t="n">
        <x:f>'Monitoring'!F8</x:f>
        <x:v>9</x:v>
      </x:c>
      <x:c r="H8" s="66" t="str">
        <x:f>'Monitoring'!G8</x:f>
        <x:v>PRE-FUNDING BLOCKED</x:v>
      </x:c>
      <x:c r="I8" s="22" t="str">
        <x:v>continuous and on any custody or control change</x:v>
      </x:c>
      <x:c r="J8" s="22" t="str">
        <x:v>no draw availability during any deficiency</x:v>
      </x:c>
      <x:c r="K8" s="22" t="str">
        <x:v>Assign zero collateral credit, block funding, and begin immediate legal review.</x:v>
      </x:c>
      <x:c r="L8" s="22" t="str">
        <x:v>Legal and collateral operations</x:v>
      </x:c>
      <x:c r="M8" s="22" t="str">
        <x:v>MON-02</x:v>
      </x:c>
      <x:c r="N8" s="2"/>
    </x:row>
    <x:row r="9" ht="54" hidden="0" customHeight="1">
      <x:c r="A9" s="2"/>
      <x:c r="B9" s="2"/>
      <x:c r="C9" s="22" t="str">
        <x:v>COV-03</x:v>
      </x:c>
      <x:c r="D9" s="22" t="str">
        <x:v>operational</x:v>
      </x:c>
      <x:c r="E9" s="22" t="str">
        <x:v>Maintain a tested collateral-to-cash repayment route within the approved completion time.</x:v>
      </x:c>
      <x:c r="F9" s="22" t="str">
        <x:v>&lt;= 4 hours end to end</x:v>
      </x:c>
      <x:c r="G9" s="66" t="str">
        <x:f>'Monitoring'!F9</x:f>
        <x:v>Private test required</x:v>
      </x:c>
      <x:c r="H9" s="66" t="str">
        <x:f>'Monitoring'!G9</x:f>
        <x:v>NOT MEASURED</x:v>
      </x:c>
      <x:c r="I9" s="22" t="str">
        <x:v>monthly and after any route change</x:v>
      </x:c>
      <x:c r="J9" s="22" t="str">
        <x:v>availability suspended until a successful test</x:v>
      </x:c>
      <x:c r="K9" s="22" t="str">
        <x:v>Suspend availability and require same-day operations and credit review.</x:v>
      </x:c>
      <x:c r="L9" s="22" t="str">
        <x:v>Collateral operations</x:v>
      </x:c>
      <x:c r="M9" s="22" t="str">
        <x:v>MON-03</x:v>
      </x:c>
      <x:c r="N9" s="2"/>
    </x:row>
    <x:row r="10" ht="54" hidden="0" customHeight="1">
      <x:c r="A10" s="2"/>
      <x:c r="B10" s="2"/>
      <x:c r="C10" s="22" t="str">
        <x:v>COV-04</x:v>
      </x:c>
      <x:c r="D10" s="22" t="str">
        <x:v>financial</x:v>
      </x:c>
      <x:c r="E10" s="22" t="str">
        <x:v>Maintain minimum unrestricted cash at the borrowing entity.</x:v>
      </x:c>
      <x:c r="F10" s="22" t="str">
        <x:v>&gt;= $25 million</x:v>
      </x:c>
      <x:c r="G10" s="66" t="str">
        <x:f>'Monitoring'!F10</x:f>
        <x:v>Private reporting required</x:v>
      </x:c>
      <x:c r="H10" s="66" t="str">
        <x:f>'Monitoring'!G10</x:f>
        <x:v>NOT MEASURED</x:v>
      </x:c>
      <x:c r="I10" s="22" t="str">
        <x:v>monthly</x:v>
      </x:c>
      <x:c r="J10" s="22" t="str">
        <x:v>five business days to deliver a remediation plan; availability remains frozen</x:v>
      </x:c>
      <x:c r="K10" s="22" t="str">
        <x:v>Freeze incremental availability and reassess repayment capacity and the obligor cap.</x:v>
      </x:c>
      <x:c r="L10" s="22" t="str">
        <x:v>Borrower reporting and credit risk</x:v>
      </x:c>
      <x:c r="M10" s="22" t="str">
        <x:v>MON-04</x:v>
      </x:c>
      <x:c r="N10" s="2"/>
    </x:row>
    <x:row r="11" ht="54" hidden="0" customHeight="1">
      <x:c r="A11" s="2"/>
      <x:c r="B11" s="2"/>
      <x:c r="C11" s="22" t="str">
        <x:v>COV-05</x:v>
      </x:c>
      <x:c r="D11" s="22" t="str">
        <x:v>information</x:v>
      </x:c>
      <x:c r="E11" s="22" t="str">
        <x:v>Explain and remediate material adverse variance to the approved operating cash forecast.</x:v>
      </x:c>
      <x:c r="F11" s="22" t="str">
        <x:v>no &gt;20% adverse variance</x:v>
      </x:c>
      <x:c r="G11" s="66" t="str">
        <x:f>'Monitoring'!F11</x:f>
        <x:v>Private reporting required</x:v>
      </x:c>
      <x:c r="H11" s="66" t="str">
        <x:f>'Monitoring'!G11</x:f>
        <x:v>NOT MEASURED</x:v>
      </x:c>
      <x:c r="I11" s="22" t="str">
        <x:v>monthly and quarterly</x:v>
      </x:c>
      <x:c r="J11" s="22" t="str">
        <x:v>five business days to provide an updated forecast and action plan</x:v>
      </x:c>
      <x:c r="K11" s="22" t="str">
        <x:v>Refresh the rating and repayment analysis; freeze availability if liquidity runway is affected.</x:v>
      </x:c>
      <x:c r="L11" s="22" t="str">
        <x:v>Credit risk</x:v>
      </x:c>
      <x:c r="M11" s="22" t="str">
        <x:v>MON-05</x:v>
      </x:c>
      <x:c r="N11" s="2"/>
    </x:row>
    <x:row r="12" ht="54" hidden="0" customHeight="1">
      <x:c r="A12" s="2"/>
      <x:c r="B12" s="2"/>
      <x:c r="C12" s="22" t="str">
        <x:v>COV-06</x:v>
      </x:c>
      <x:c r="D12" s="22" t="str">
        <x:v>negative</x:v>
      </x:c>
      <x:c r="E12" s="22" t="str">
        <x:v>Do not incur additional secured debt or create liens without lender consent.</x:v>
      </x:c>
      <x:c r="F12" s="22" t="str">
        <x:v>$0 without lender consent</x:v>
      </x:c>
      <x:c r="G12" s="66" t="str">
        <x:f>'Monitoring'!F12</x:f>
        <x:v>Private reporting required</x:v>
      </x:c>
      <x:c r="H12" s="66" t="str">
        <x:f>'Monitoring'!G12</x:f>
        <x:v>NOT MEASURED</x:v>
      </x:c>
      <x:c r="I12" s="22" t="str">
        <x:v>event-driven with monthly certification</x:v>
      </x:c>
      <x:c r="J12" s="22" t="str">
        <x:v>none unless expressly waived in writing</x:v>
      </x:c>
      <x:c r="K12" s="22" t="str">
        <x:v>Block new draws and assess default, release, subordination, or waiver requirements.</x:v>
      </x:c>
      <x:c r="L12" s="22" t="str">
        <x:v>Legal and credit risk</x:v>
      </x:c>
      <x:c r="M12" s="22" t="str">
        <x:v>MON-06</x:v>
      </x:c>
      <x:c r="N12" s="2"/>
    </x:row>
    <x:row r="13" ht="54" hidden="0" customHeight="1">
      <x:c r="A13" s="2"/>
      <x:c r="B13" s="2"/>
      <x:c r="C13" s="22" t="str">
        <x:v>COV-07</x:v>
      </x:c>
      <x:c r="D13" s="22" t="str">
        <x:v>portfolio</x:v>
      </x:c>
      <x:c r="E13" s="22" t="str">
        <x:v>Remain within the approved USDC collateral concentration capacity.</x:v>
      </x:c>
      <x:c r="F13" s="22" t="str">
        <x:v>&gt;= $0 headroom</x:v>
      </x:c>
      <x:c r="G13" s="36" t="n">
        <x:f>'Monitoring'!F13</x:f>
        <x:v>1000000</x:v>
      </x:c>
      <x:c r="H13" s="66" t="str">
        <x:f>'Monitoring'!G13</x:f>
        <x:v>PASS PROJECTION</x:v>
      </x:c>
      <x:c r="I13" s="22" t="str">
        <x:v>continuous and before each draw</x:v>
      </x:c>
      <x:c r="J13" s="22" t="str">
        <x:v>no draw may create or increase a breach</x:v>
      </x:c>
      <x:c r="K13" s="22" t="str">
        <x:v>Reject the draw or reduce the facility limit before funding.</x:v>
      </x:c>
      <x:c r="L13" s="22" t="str">
        <x:v>Portfolio risk</x:v>
      </x:c>
      <x:c r="M13" s="22" t="str">
        <x:v>MON-07</x:v>
      </x:c>
      <x:c r="N13" s="2"/>
    </x:row>
    <x:row r="14" ht="54" hidden="0" customHeight="1">
      <x:c r="A14" s="2"/>
      <x:c r="B14" s="2"/>
      <x:c r="C14" s="22" t="str">
        <x:v>COV-08</x:v>
      </x:c>
      <x:c r="D14" s="22" t="str">
        <x:v>reporting</x:v>
      </x:c>
      <x:c r="E14" s="22" t="str">
        <x:v>Deliver complete financial and collateral reporting after each month end.</x:v>
      </x:c>
      <x:c r="F14" s="22" t="str">
        <x:v>within 15 business days</x:v>
      </x:c>
      <x:c r="G14" s="66" t="str">
        <x:f>'Monitoring'!F14</x:f>
        <x:v>Private reporting required</x:v>
      </x:c>
      <x:c r="H14" s="66" t="str">
        <x:f>'Monitoring'!G14</x:f>
        <x:v>NOT MEASURED</x:v>
      </x:c>
      <x:c r="I14" s="22" t="str">
        <x:v>monthly</x:v>
      </x:c>
      <x:c r="J14" s="22" t="str">
        <x:v>five business days after notice</x:v>
      </x:c>
      <x:c r="K14" s="22" t="str">
        <x:v>Block new draws until the reporting package is complete and accepted.</x:v>
      </x:c>
      <x:c r="L14" s="22" t="str">
        <x:v>Credit administration</x:v>
      </x:c>
      <x:c r="M14" s="22" t="str">
        <x:v>MON-08</x:v>
      </x:c>
      <x:c r="N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15" hidden="0" customHeight="1">
      <x:c r="A17" s="2"/>
      <x:c r="B17" s="2"/>
      <x:c r="C17" s="8" t="str">
        <x:v>Covenant state summary</x:v>
      </x:c>
      <x:c r="D17" s="9" t="str"/>
      <x:c r="E17" s="9" t="str"/>
      <x:c r="F17" s="10" t="str"/>
      <x:c r="G17" s="2"/>
      <x:c r="H17" s="2"/>
      <x:c r="I17" s="2"/>
      <x:c r="J17" s="2"/>
      <x:c r="K17" s="2"/>
      <x:c r="L17" s="2"/>
      <x:c r="M17" s="2"/>
      <x:c r="N17" s="2"/>
    </x:row>
    <x:row r="18" ht="15" hidden="0" customHeight="1">
      <x:c r="A18" s="2"/>
      <x:c r="B18" s="2"/>
      <x:c r="C18" s="21" t="str">
        <x:v>Covenant count</x:v>
      </x:c>
      <x:c r="D18" s="2" t="n">
        <x:f>COUNTA(C7:C14)</x:f>
        <x:v>8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15" hidden="0" customHeight="1">
      <x:c r="A19" s="2"/>
      <x:c r="B19" s="2"/>
      <x:c r="C19" s="21" t="str">
        <x:v>Projected passes</x:v>
      </x:c>
      <x:c r="D19" s="2" t="n">
        <x:f>COUNTIF(H7:H14,"PASS PROJECTION")</x:f>
        <x:v>2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2"/>
      <x:c r="B20" s="2"/>
      <x:c r="C20" s="21" t="str">
        <x:v>Pre-funding blockers</x:v>
      </x:c>
      <x:c r="D20" s="2" t="n">
        <x:f>COUNTIF(H7:H14,"PRE-FUNDING BLOCKED")</x:f>
        <x:v>1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2"/>
      <x:c r="B21" s="2"/>
      <x:c r="C21" s="21" t="str">
        <x:v>Not measured</x:v>
      </x:c>
      <x:c r="D21" s="2" t="n">
        <x:f>COUNTIF(H7:H14,"NOT MEASURED")</x:f>
        <x:v>5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2"/>
      <x:c r="B22" s="2"/>
      <x:c r="C22" s="2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0" hidden="0" customHeight="1">
      <x:c r="A23" s="2"/>
      <x:c r="B23" s="2"/>
      <x:c r="C23" s="21" t="str">
        <x:v>Method limit</x:v>
      </x:c>
      <x:c r="D23" s="26" t="str">
        <x:v>Illustrative covenant design only. These terms are not executed, legally reviewed, or Coinbase policy, and they do not establish borrower compliance.</x:v>
      </x:c>
      <x:c r="E23" s="26"/>
      <x:c r="F23" s="26"/>
      <x:c r="G23" s="26"/>
      <x:c r="H23" s="26"/>
      <x:c r="I23" s="26"/>
      <x:c r="J23" s="26"/>
      <x:c r="K23" s="26"/>
      <x:c r="L23" s="26"/>
      <x:c r="M23" s="26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H7:H14">
    <x:cfRule type="containsText" dxfId="12" priority="1" operator="containsText" text="BLOCKED"/>
    <x:cfRule type="containsText" dxfId="13" priority="2" operator="containsText" text="NOT MEASUR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0" hidden="0" customWidth="1"/>
    <x:col min="4" max="4" width="34" hidden="0" customWidth="1"/>
    <x:col min="5" max="5" width="24" hidden="0" customWidth="1"/>
    <x:col min="6" max="6" width="22" hidden="0" customWidth="1"/>
    <x:col min="7" max="7" width="22" hidden="0" customWidth="1"/>
    <x:col min="8" max="8" width="30" hidden="0" customWidth="1"/>
    <x:col min="9" max="9" width="32" hidden="0" customWidth="1"/>
    <x:col min="10" max="10" width="44" hidden="0" customWidth="1"/>
    <x:col min="11" max="11" width="44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Monitoring and early-warning design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Not active borrower monitoring; funding remains blocked pending conditions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23" t="str">
        <x:v>ID</x:v>
      </x:c>
      <x:c r="D6" s="24" t="str">
        <x:v>Metric</x:v>
      </x:c>
      <x:c r="E6" s="24" t="str">
        <x:v>Threshold</x:v>
      </x:c>
      <x:c r="F6" s="24" t="str">
        <x:v>Current evidence</x:v>
      </x:c>
      <x:c r="G6" s="24" t="str">
        <x:v>Status</x:v>
      </x:c>
      <x:c r="H6" s="24" t="str">
        <x:v>Frequency</x:v>
      </x:c>
      <x:c r="I6" s="24" t="str">
        <x:v>Owner</x:v>
      </x:c>
      <x:c r="J6" s="24" t="str">
        <x:v>Breach action</x:v>
      </x:c>
      <x:c r="K6" s="25" t="str">
        <x:v>Escalation</x:v>
      </x:c>
      <x:c r="L6" s="2"/>
      <x:c r="M6" s="2"/>
      <x:c r="N6" s="2"/>
    </x:row>
    <x:row r="7" ht="48" hidden="0" customHeight="1">
      <x:c r="A7" s="2"/>
      <x:c r="B7" s="2"/>
      <x:c r="C7" s="22" t="str">
        <x:v>MON-01</x:v>
      </x:c>
      <x:c r="D7" s="22" t="str">
        <x:v>Collateral coverage at recommended limit</x:v>
      </x:c>
      <x:c r="E7" s="22" t="str">
        <x:v>&gt;= 1.25x</x:v>
      </x:c>
      <x:c r="F7" s="68" t="n">
        <x:f>'Collateral'!D15/('Summary'!D14+'Assumptions'!D10)</x:f>
        <x:v>1.269049180327869</x:v>
      </x:c>
      <x:c r="G7" s="22" t="str">
        <x:f>IF(F7&gt;=1.25,"PASS PROJECTION","BREACH PROJECTION")</x:f>
        <x:v>PASS PROJECTION</x:v>
      </x:c>
      <x:c r="H7" s="22" t="str">
        <x:v>Continuous</x:v>
      </x:c>
      <x:c r="I7" s="22" t="str">
        <x:v>Credit risk</x:v>
      </x:c>
      <x:c r="J7" s="22" t="str">
        <x:v>Block new draws; require cure or collateral top-up.</x:v>
      </x:c>
      <x:c r="K7" s="22" t="str">
        <x:v>Immediate credit and legal review</x:v>
      </x:c>
      <x:c r="L7" s="2"/>
      <x:c r="M7" s="2"/>
      <x:c r="N7" s="2"/>
    </x:row>
    <x:row r="8" ht="48" hidden="0" customHeight="1">
      <x:c r="A8" s="2"/>
      <x:c r="B8" s="2"/>
      <x:c r="C8" s="22" t="str">
        <x:v>MON-02</x:v>
      </x:c>
      <x:c r="D8" s="22" t="str">
        <x:v>Collateral ownership, priority, and control</x:v>
      </x:c>
      <x:c r="E8" s="22" t="str">
        <x:v>All verified</x:v>
      </x:c>
      <x:c r="F8" s="69" t="n">
        <x:f>'Conditions'!D9</x:f>
        <x:v>9</x:v>
      </x:c>
      <x:c r="G8" s="22" t="str">
        <x:f>IF(F8&gt;0,"PRE-FUNDING BLOCKED","READY FOR ACTIVATION")</x:f>
        <x:v>PRE-FUNDING BLOCKED</x:v>
      </x:c>
      <x:c r="H8" s="22" t="str">
        <x:v>Continuous and on custody change</x:v>
      </x:c>
      <x:c r="I8" s="22" t="str">
        <x:v>Legal and collateral operations</x:v>
      </x:c>
      <x:c r="J8" s="22" t="str">
        <x:v>Assign zero collateral credit and block funding.</x:v>
      </x:c>
      <x:c r="K8" s="22" t="str">
        <x:v>Immediate credit, legal, and operations review</x:v>
      </x:c>
      <x:c r="L8" s="2"/>
      <x:c r="M8" s="2"/>
      <x:c r="N8" s="2"/>
    </x:row>
    <x:row r="9" ht="48" hidden="0" customHeight="1">
      <x:c r="A9" s="2"/>
      <x:c r="B9" s="2"/>
      <x:c r="C9" s="22" t="str">
        <x:v>MON-03</x:v>
      </x:c>
      <x:c r="D9" s="22" t="str">
        <x:v>Base-to-cash route test</x:v>
      </x:c>
      <x:c r="E9" s="22" t="str">
        <x:v>&lt;= 4 hours end to end</x:v>
      </x:c>
      <x:c r="F9" s="22" t="str">
        <x:v>Private test required</x:v>
      </x:c>
      <x:c r="G9" s="22" t="str">
        <x:v>NOT MEASURED</x:v>
      </x:c>
      <x:c r="H9" s="22" t="str">
        <x:v>Monthly and after route change</x:v>
      </x:c>
      <x:c r="I9" s="22" t="str">
        <x:v>Collateral operations</x:v>
      </x:c>
      <x:c r="J9" s="22" t="str">
        <x:v>Suspend availability until a successful route test.</x:v>
      </x:c>
      <x:c r="K9" s="22" t="str">
        <x:v>Same-day operations and credit review</x:v>
      </x:c>
      <x:c r="L9" s="2"/>
      <x:c r="M9" s="2"/>
      <x:c r="N9" s="2"/>
    </x:row>
    <x:row r="10" ht="48" hidden="0" customHeight="1">
      <x:c r="A10" s="2"/>
      <x:c r="B10" s="2"/>
      <x:c r="C10" s="22" t="str">
        <x:v>MON-04</x:v>
      </x:c>
      <x:c r="D10" s="22" t="str">
        <x:v>Borrowing-entity unrestricted cash</x:v>
      </x:c>
      <x:c r="E10" s="22" t="str">
        <x:v>&gt;= $25 million</x:v>
      </x:c>
      <x:c r="F10" s="22" t="str">
        <x:v>Private reporting required</x:v>
      </x:c>
      <x:c r="G10" s="22" t="str">
        <x:v>NOT MEASURED</x:v>
      </x:c>
      <x:c r="H10" s="22" t="str">
        <x:v>Monthly</x:v>
      </x:c>
      <x:c r="I10" s="22" t="str">
        <x:v>Borrower reporting and credit risk</x:v>
      </x:c>
      <x:c r="J10" s="22" t="str">
        <x:v>Freeze incremental availability and reassess obligor cap.</x:v>
      </x:c>
      <x:c r="K10" s="22" t="str">
        <x:v>Five-business-day credit review</x:v>
      </x:c>
      <x:c r="L10" s="2"/>
      <x:c r="M10" s="2"/>
      <x:c r="N10" s="2"/>
    </x:row>
    <x:row r="11" ht="48" hidden="0" customHeight="1">
      <x:c r="A11" s="2"/>
      <x:c r="B11" s="2"/>
      <x:c r="C11" s="22" t="str">
        <x:v>MON-05</x:v>
      </x:c>
      <x:c r="D11" s="22" t="str">
        <x:v>Operating cash generation variance</x:v>
      </x:c>
      <x:c r="E11" s="22" t="str">
        <x:v>No &gt;20% adverse variance</x:v>
      </x:c>
      <x:c r="F11" s="22" t="str">
        <x:v>Private reporting required</x:v>
      </x:c>
      <x:c r="G11" s="22" t="str">
        <x:v>NOT MEASURED</x:v>
      </x:c>
      <x:c r="H11" s="22" t="str">
        <x:v>Monthly and quarterly</x:v>
      </x:c>
      <x:c r="I11" s="22" t="str">
        <x:v>Credit risk</x:v>
      </x:c>
      <x:c r="J11" s="22" t="str">
        <x:v>Refresh rating factors and repayment analysis.</x:v>
      </x:c>
      <x:c r="K11" s="22" t="str">
        <x:v>Next review; immediate if liquidity runway is affected</x:v>
      </x:c>
      <x:c r="L11" s="2"/>
      <x:c r="M11" s="2"/>
      <x:c r="N11" s="2"/>
    </x:row>
    <x:row r="12" ht="48" hidden="0" customHeight="1">
      <x:c r="A12" s="2"/>
      <x:c r="B12" s="2"/>
      <x:c r="C12" s="22" t="str">
        <x:v>MON-06</x:v>
      </x:c>
      <x:c r="D12" s="22" t="str">
        <x:v>Additional secured debt or lien creation</x:v>
      </x:c>
      <x:c r="E12" s="22" t="str">
        <x:v>$0 without lender consent</x:v>
      </x:c>
      <x:c r="F12" s="22" t="str">
        <x:v>Private reporting required</x:v>
      </x:c>
      <x:c r="G12" s="22" t="str">
        <x:v>NOT MEASURED</x:v>
      </x:c>
      <x:c r="H12" s="22" t="str">
        <x:v>Event-driven with monthly certification</x:v>
      </x:c>
      <x:c r="I12" s="22" t="str">
        <x:v>Legal and credit risk</x:v>
      </x:c>
      <x:c r="J12" s="22" t="str">
        <x:v>Block new draws and assess default or waiver path.</x:v>
      </x:c>
      <x:c r="K12" s="22" t="str">
        <x:v>Immediate legal and credit review</x:v>
      </x:c>
      <x:c r="L12" s="2"/>
      <x:c r="M12" s="2"/>
      <x:c r="N12" s="2"/>
    </x:row>
    <x:row r="13" ht="48" hidden="0" customHeight="1">
      <x:c r="A13" s="2"/>
      <x:c r="B13" s="2"/>
      <x:c r="C13" s="22" t="str">
        <x:v>MON-07</x:v>
      </x:c>
      <x:c r="D13" s="22" t="str">
        <x:v>USDC collateral concentration headroom</x:v>
      </x:c>
      <x:c r="E13" s="22" t="str">
        <x:v>&gt;= $0</x:v>
      </x:c>
      <x:c r="F13" s="70" t="n">
        <x:f>'Portfolio'!D25-'Summary'!D14</x:f>
        <x:v>1000000</x:v>
      </x:c>
      <x:c r="G13" s="22" t="str">
        <x:f>IF(F13&gt;=0,"PASS PROJECTION","BREACH PROJECTION")</x:f>
        <x:v>PASS PROJECTION</x:v>
      </x:c>
      <x:c r="H13" s="22" t="str">
        <x:v>Continuous before each draw</x:v>
      </x:c>
      <x:c r="I13" s="22" t="str">
        <x:v>Portfolio risk</x:v>
      </x:c>
      <x:c r="J13" s="22" t="str">
        <x:v>Reject the draw or reduce the facility limit.</x:v>
      </x:c>
      <x:c r="K13" s="22" t="str">
        <x:v>Pre-draw portfolio-risk review</x:v>
      </x:c>
      <x:c r="L13" s="2"/>
      <x:c r="M13" s="2"/>
      <x:c r="N13" s="2"/>
    </x:row>
    <x:row r="14" ht="48" hidden="0" customHeight="1">
      <x:c r="A14" s="2"/>
      <x:c r="B14" s="2"/>
      <x:c r="C14" s="22" t="str">
        <x:v>MON-08</x:v>
      </x:c>
      <x:c r="D14" s="22" t="str">
        <x:v>Financial and collateral reporting delivery</x:v>
      </x:c>
      <x:c r="E14" s="22" t="str">
        <x:v>Within 15 business days</x:v>
      </x:c>
      <x:c r="F14" s="22" t="str">
        <x:v>Private reporting required</x:v>
      </x:c>
      <x:c r="G14" s="22" t="str">
        <x:v>NOT MEASURED</x:v>
      </x:c>
      <x:c r="H14" s="22" t="str">
        <x:v>Monthly</x:v>
      </x:c>
      <x:c r="I14" s="22" t="str">
        <x:v>Credit administration</x:v>
      </x:c>
      <x:c r="J14" s="22" t="str">
        <x:v>Block new draws until reporting is complete.</x:v>
      </x:c>
      <x:c r="K14" s="22" t="str">
        <x:v>Five-business-day credit-administration review</x:v>
      </x:c>
      <x:c r="L14" s="2"/>
      <x:c r="M14" s="2"/>
      <x:c r="N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15" hidden="0" customHeight="1">
      <x:c r="A17" s="2"/>
      <x:c r="B17" s="2"/>
      <x:c r="C17" s="8" t="str">
        <x:v>Monitoring state summary</x:v>
      </x:c>
      <x:c r="D17" s="9" t="str"/>
      <x:c r="E17" s="9" t="str"/>
      <x:c r="F17" s="10" t="str"/>
      <x:c r="G17" s="2"/>
      <x:c r="H17" s="2"/>
      <x:c r="I17" s="2"/>
      <x:c r="J17" s="2"/>
      <x:c r="K17" s="2"/>
      <x:c r="L17" s="2"/>
      <x:c r="M17" s="2"/>
      <x:c r="N17" s="2"/>
    </x:row>
    <x:row r="18" ht="15" hidden="0" customHeight="1">
      <x:c r="A18" s="2"/>
      <x:c r="B18" s="2"/>
      <x:c r="C18" s="21" t="str">
        <x:v>Rule count</x:v>
      </x:c>
      <x:c r="D18" s="2" t="n">
        <x:f>COUNTA(C7:C14)</x:f>
        <x:v>8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15" hidden="0" customHeight="1">
      <x:c r="A19" s="2"/>
      <x:c r="B19" s="2"/>
      <x:c r="C19" s="21" t="str">
        <x:v>Projected passes</x:v>
      </x:c>
      <x:c r="D19" s="2" t="n">
        <x:f>COUNTIF(G7:G14,"PASS PROJECTION")</x:f>
        <x:v>2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2"/>
      <x:c r="B20" s="2"/>
      <x:c r="C20" s="21" t="str">
        <x:v>Pre-funding blockers</x:v>
      </x:c>
      <x:c r="D20" s="2" t="n">
        <x:f>COUNTIF(G7:G14,"PRE-FUNDING BLOCKED")</x:f>
        <x:v>1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2"/>
      <x:c r="B21" s="2"/>
      <x:c r="C21" s="21" t="str">
        <x:v>Not measured</x:v>
      </x:c>
      <x:c r="D21" s="2" t="n">
        <x:f>COUNTIF(G7:G14,"NOT MEASURED")</x:f>
        <x:v>5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2"/>
      <x:c r="B22" s="2"/>
      <x:c r="C22" s="2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60" hidden="0" customHeight="1">
      <x:c r="A23" s="2"/>
      <x:c r="B23" s="2"/>
      <x:c r="C23" s="21" t="str">
        <x:v>Method limit</x:v>
      </x:c>
      <x:c r="D23" s="22" t="str">
        <x:v>Illustrative monitoring design only. It is not executed borrower reporting, an executed or legally reviewed covenant package, or Coinbase policy.</x:v>
      </x:c>
      <x:c r="E23" s="22"/>
      <x:c r="F23" s="22"/>
      <x:c r="G23" s="22"/>
      <x:c r="H23" s="22"/>
      <x:c r="I23" s="22"/>
      <x:c r="J23" s="22"/>
      <x:c r="K23" s="22"/>
      <x:c r="L23" s="2"/>
      <x:c r="M23" s="2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G7:G14">
    <x:cfRule type="containsText" dxfId="14" priority="1" operator="containsText" text="BLOCKED"/>
    <x:cfRule type="containsText" dxfId="15" priority="2" operator="containsText" text="NOT MEASUR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0" hidden="0" customWidth="1"/>
    <x:col min="4" max="4" width="14" hidden="0" customWidth="1"/>
    <x:col min="5" max="5" width="25" hidden="0" customWidth="1"/>
    <x:col min="6" max="6" width="25" hidden="0" customWidth="1"/>
    <x:col min="7" max="7" width="28" hidden="0" customWidth="1"/>
    <x:col min="8" max="8" width="24" hidden="0" customWidth="1"/>
    <x:col min="9" max="9" width="31" hidden="0" customWidth="1"/>
    <x:col min="10" max="10" width="24" hidden="0" customWidth="1"/>
    <x:col min="11" max="11" width="46" hidden="0" customWidth="1"/>
    <x:col min="12" max="12" width="46" hidden="0" customWidth="1"/>
    <x:col min="13" max="13" width="13" hidden="0" customWidth="1"/>
    <x:col min="14" max="14" width="13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Escalation and response playbook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Illustrative response paths; no incident or borrower breach is currently observed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23" t="str">
        <x:v>ID</x:v>
      </x:c>
      <x:c r="D6" s="24" t="str">
        <x:v>Severity</x:v>
      </x:c>
      <x:c r="E6" s="24" t="str">
        <x:v>Response clock</x:v>
      </x:c>
      <x:c r="F6" s="24" t="str">
        <x:v>Draw state</x:v>
      </x:c>
      <x:c r="G6" s="24" t="str">
        <x:v>Current evidence</x:v>
      </x:c>
      <x:c r="H6" s="24" t="str">
        <x:v>Current status</x:v>
      </x:c>
      <x:c r="I6" s="24" t="str">
        <x:v>Current response</x:v>
      </x:c>
      <x:c r="J6" s="24" t="str">
        <x:v>Decision owner</x:v>
      </x:c>
      <x:c r="K6" s="24" t="str">
        <x:v>Required evidence</x:v>
      </x:c>
      <x:c r="L6" s="24" t="str">
        <x:v>Exit criteria</x:v>
      </x:c>
      <x:c r="M6" s="24" t="str">
        <x:v>Monitor</x:v>
      </x:c>
      <x:c r="N6" s="25" t="str">
        <x:v>Covenant</x:v>
      </x:c>
    </x:row>
    <x:row r="7" ht="58" hidden="0" customHeight="1">
      <x:c r="A7" s="2"/>
      <x:c r="B7" s="2"/>
      <x:c r="C7" s="22" t="str">
        <x:v>ESC-01</x:v>
      </x:c>
      <x:c r="D7" s="22" t="str">
        <x:v>critical</x:v>
      </x:c>
      <x:c r="E7" s="22" t="str">
        <x:v>immediate; same-day decision</x:v>
      </x:c>
      <x:c r="F7" s="22" t="str">
        <x:v>blocked</x:v>
      </x:c>
      <x:c r="G7" s="65" t="n">
        <x:f>'Monitoring'!F7</x:f>
        <x:v>1.269049180327869</x:v>
      </x:c>
      <x:c r="H7" s="66" t="str">
        <x:f>'Monitoring'!G7</x:f>
        <x:v>PASS PROJECTION</x:v>
      </x:c>
      <x:c r="I7" s="22" t="str">
        <x:v>projection only no incident</x:v>
      </x:c>
      <x:c r="J7" s="22" t="str">
        <x:v>Head of credit risk</x:v>
      </x:c>
      <x:c r="K7" s="22" t="str">
        <x:v>Current collateral valuation, exposure ledger, custody balance, and top-up or repayment confirmation</x:v>
      </x:c>
      <x:c r="L7" s="22" t="str">
        <x:v>Coverage is restored to at least 1.25x and independently reconciled</x:v>
      </x:c>
      <x:c r="M7" s="22" t="str">
        <x:v>MON-01</x:v>
      </x:c>
      <x:c r="N7" s="22" t="str">
        <x:v>COV-01</x:v>
      </x:c>
    </x:row>
    <x:row r="8" ht="58" hidden="0" customHeight="1">
      <x:c r="A8" s="2"/>
      <x:c r="B8" s="2"/>
      <x:c r="C8" s="22" t="str">
        <x:v>ESC-02</x:v>
      </x:c>
      <x:c r="D8" s="22" t="str">
        <x:v>critical</x:v>
      </x:c>
      <x:c r="E8" s="22" t="str">
        <x:v>immediate; no funding</x:v>
      </x:c>
      <x:c r="F8" s="22" t="str">
        <x:v>blocked</x:v>
      </x:c>
      <x:c r="G8" s="67" t="n">
        <x:f>'Monitoring'!F8</x:f>
        <x:v>9</x:v>
      </x:c>
      <x:c r="H8" s="66" t="str">
        <x:f>'Monitoring'!G8</x:f>
        <x:v>PRE-FUNDING BLOCKED</x:v>
      </x:c>
      <x:c r="I8" s="22" t="str">
        <x:v>resolve pre funding blocker</x:v>
      </x:c>
      <x:c r="J8" s="22" t="str">
        <x:v>Credit and legal jointly</x:v>
      </x:c>
      <x:c r="K8" s="22" t="str">
        <x:v>Ownership records, lien search, executed security documents, control agreement, and operating-procedure test</x:v>
      </x:c>
      <x:c r="L8" s="22" t="str">
        <x:v>Ownership, first priority, enforceability, and lender control are all verified</x:v>
      </x:c>
      <x:c r="M8" s="22" t="str">
        <x:v>MON-02</x:v>
      </x:c>
      <x:c r="N8" s="22" t="str">
        <x:v>COV-02</x:v>
      </x:c>
    </x:row>
    <x:row r="9" ht="58" hidden="0" customHeight="1">
      <x:c r="A9" s="2"/>
      <x:c r="B9" s="2"/>
      <x:c r="C9" s="22" t="str">
        <x:v>ESC-03</x:v>
      </x:c>
      <x:c r="D9" s="22" t="str">
        <x:v>high</x:v>
      </x:c>
      <x:c r="E9" s="22" t="str">
        <x:v>same business day</x:v>
      </x:c>
      <x:c r="F9" s="22" t="str">
        <x:v>suspended</x:v>
      </x:c>
      <x:c r="G9" s="66" t="str">
        <x:f>'Monitoring'!F9</x:f>
        <x:v>Private test required</x:v>
      </x:c>
      <x:c r="H9" s="66" t="str">
        <x:f>'Monitoring'!G9</x:f>
        <x:v>NOT MEASURED</x:v>
      </x:c>
      <x:c r="I9" s="22" t="str">
        <x:v>obtain private evidence before activation</x:v>
      </x:c>
      <x:c r="J9" s="22" t="str">
        <x:v>Collateral operations lead</x:v>
      </x:c>
      <x:c r="K9" s="22" t="str">
        <x:v>Timestamped route test, transaction identifiers, fees, destination confirmation, and exception log</x:v>
      </x:c>
      <x:c r="L9" s="22" t="str">
        <x:v>A complete route test finishes within four hours with reconciled proceeds</x:v>
      </x:c>
      <x:c r="M9" s="22" t="str">
        <x:v>MON-03</x:v>
      </x:c>
      <x:c r="N9" s="22" t="str">
        <x:v>COV-03</x:v>
      </x:c>
    </x:row>
    <x:row r="10" ht="58" hidden="0" customHeight="1">
      <x:c r="A10" s="2"/>
      <x:c r="B10" s="2"/>
      <x:c r="C10" s="22" t="str">
        <x:v>ESC-04</x:v>
      </x:c>
      <x:c r="D10" s="22" t="str">
        <x:v>high</x:v>
      </x:c>
      <x:c r="E10" s="22" t="str">
        <x:v>within five business days</x:v>
      </x:c>
      <x:c r="F10" s="22" t="str">
        <x:v>frozen</x:v>
      </x:c>
      <x:c r="G10" s="66" t="str">
        <x:f>'Monitoring'!F10</x:f>
        <x:v>Private reporting required</x:v>
      </x:c>
      <x:c r="H10" s="66" t="str">
        <x:f>'Monitoring'!G10</x:f>
        <x:v>NOT MEASURED</x:v>
      </x:c>
      <x:c r="I10" s="22" t="str">
        <x:v>obtain private evidence before activation</x:v>
      </x:c>
      <x:c r="J10" s="22" t="str">
        <x:v>Senior credit officer</x:v>
      </x:c>
      <x:c r="K10" s="22" t="str">
        <x:v>Borrowing-entity bank statements, unrestricted-cash reconciliation, forecast, and remediation plan</x:v>
      </x:c>
      <x:c r="L10" s="22" t="str">
        <x:v>Unrestricted cash is at least $25 million or a documented waiver is approved</x:v>
      </x:c>
      <x:c r="M10" s="22" t="str">
        <x:v>MON-04</x:v>
      </x:c>
      <x:c r="N10" s="22" t="str">
        <x:v>COV-04</x:v>
      </x:c>
    </x:row>
    <x:row r="11" ht="58" hidden="0" customHeight="1">
      <x:c r="A11" s="2"/>
      <x:c r="B11" s="2"/>
      <x:c r="C11" s="22" t="str">
        <x:v>ESC-05</x:v>
      </x:c>
      <x:c r="D11" s="22" t="str">
        <x:v>moderate</x:v>
      </x:c>
      <x:c r="E11" s="22" t="str">
        <x:v>next scheduled review; immediate if runway is affected</x:v>
      </x:c>
      <x:c r="F11" s="22" t="str">
        <x:v>review_required</x:v>
      </x:c>
      <x:c r="G11" s="66" t="str">
        <x:f>'Monitoring'!F11</x:f>
        <x:v>Private reporting required</x:v>
      </x:c>
      <x:c r="H11" s="66" t="str">
        <x:f>'Monitoring'!G11</x:f>
        <x:v>NOT MEASURED</x:v>
      </x:c>
      <x:c r="I11" s="22" t="str">
        <x:v>obtain private evidence before activation</x:v>
      </x:c>
      <x:c r="J11" s="22" t="str">
        <x:v>Credit risk manager</x:v>
      </x:c>
      <x:c r="K11" s="22" t="str">
        <x:v>Budget-to-actual bridge, revised cash forecast, variance explanation, and management action plan</x:v>
      </x:c>
      <x:c r="L11" s="22" t="str">
        <x:v>Rating and repayment analysis are refreshed and the decision owner accepts the remediation plan</x:v>
      </x:c>
      <x:c r="M11" s="22" t="str">
        <x:v>MON-05</x:v>
      </x:c>
      <x:c r="N11" s="22" t="str">
        <x:v>COV-05</x:v>
      </x:c>
    </x:row>
    <x:row r="12" ht="58" hidden="0" customHeight="1">
      <x:c r="A12" s="2"/>
      <x:c r="B12" s="2"/>
      <x:c r="C12" s="22" t="str">
        <x:v>ESC-06</x:v>
      </x:c>
      <x:c r="D12" s="22" t="str">
        <x:v>critical</x:v>
      </x:c>
      <x:c r="E12" s="22" t="str">
        <x:v>immediate; same-day legal review</x:v>
      </x:c>
      <x:c r="F12" s="22" t="str">
        <x:v>blocked</x:v>
      </x:c>
      <x:c r="G12" s="66" t="str">
        <x:f>'Monitoring'!F12</x:f>
        <x:v>Private reporting required</x:v>
      </x:c>
      <x:c r="H12" s="66" t="str">
        <x:f>'Monitoring'!G12</x:f>
        <x:v>NOT MEASURED</x:v>
      </x:c>
      <x:c r="I12" s="22" t="str">
        <x:v>obtain private evidence before activation</x:v>
      </x:c>
      <x:c r="J12" s="22" t="str">
        <x:v>Credit and legal jointly</x:v>
      </x:c>
      <x:c r="K12" s="22" t="str">
        <x:v>Debt and lien documents, consent request, priority analysis, and proposed waiver or subordination terms</x:v>
      </x:c>
      <x:c r="L12" s="22" t="str">
        <x:v>The lien is released or subordinated, or an authorized written waiver is effective</x:v>
      </x:c>
      <x:c r="M12" s="22" t="str">
        <x:v>MON-06</x:v>
      </x:c>
      <x:c r="N12" s="22" t="str">
        <x:v>COV-06</x:v>
      </x:c>
    </x:row>
    <x:row r="13" ht="58" hidden="0" customHeight="1">
      <x:c r="A13" s="2"/>
      <x:c r="B13" s="2"/>
      <x:c r="C13" s="22" t="str">
        <x:v>ESC-07</x:v>
      </x:c>
      <x:c r="D13" s="22" t="str">
        <x:v>high</x:v>
      </x:c>
      <x:c r="E13" s="22" t="str">
        <x:v>before draw approval</x:v>
      </x:c>
      <x:c r="F13" s="22" t="str">
        <x:v>rejected</x:v>
      </x:c>
      <x:c r="G13" s="36" t="n">
        <x:f>'Monitoring'!F13</x:f>
        <x:v>1000000</x:v>
      </x:c>
      <x:c r="H13" s="66" t="str">
        <x:f>'Monitoring'!G13</x:f>
        <x:v>PASS PROJECTION</x:v>
      </x:c>
      <x:c r="I13" s="22" t="str">
        <x:v>projection only no incident</x:v>
      </x:c>
      <x:c r="J13" s="22" t="str">
        <x:v>Portfolio risk lead</x:v>
      </x:c>
      <x:c r="K13" s="22" t="str">
        <x:v>Current portfolio exposure report, shared-risk aggregation, requested draw, and limit-owner sign-off</x:v>
      </x:c>
      <x:c r="L13" s="22" t="str">
        <x:v>Pro forma concentration headroom is non-negative after the approved draw amount</x:v>
      </x:c>
      <x:c r="M13" s="22" t="str">
        <x:v>MON-07</x:v>
      </x:c>
      <x:c r="N13" s="22" t="str">
        <x:v>COV-07</x:v>
      </x:c>
    </x:row>
    <x:row r="14" ht="58" hidden="0" customHeight="1">
      <x:c r="A14" s="2"/>
      <x:c r="B14" s="2"/>
      <x:c r="C14" s="22" t="str">
        <x:v>ESC-08</x:v>
      </x:c>
      <x:c r="D14" s="22" t="str">
        <x:v>high</x:v>
      </x:c>
      <x:c r="E14" s="22" t="str">
        <x:v>within five business days after notice</x:v>
      </x:c>
      <x:c r="F14" s="22" t="str">
        <x:v>blocked</x:v>
      </x:c>
      <x:c r="G14" s="66" t="str">
        <x:f>'Monitoring'!F14</x:f>
        <x:v>Private reporting required</x:v>
      </x:c>
      <x:c r="H14" s="66" t="str">
        <x:f>'Monitoring'!G14</x:f>
        <x:v>NOT MEASURED</x:v>
      </x:c>
      <x:c r="I14" s="22" t="str">
        <x:v>obtain private evidence before activation</x:v>
      </x:c>
      <x:c r="J14" s="22" t="str">
        <x:v>Credit administration lead</x:v>
      </x:c>
      <x:c r="K14" s="22" t="str">
        <x:v>Complete monthly financial package, collateral report, covenant certificate, and exception explanation</x:v>
      </x:c>
      <x:c r="L14" s="22" t="str">
        <x:v>The reporting package is complete, reconciled, and accepted by credit administration</x:v>
      </x:c>
      <x:c r="M14" s="22" t="str">
        <x:v>MON-08</x:v>
      </x:c>
      <x:c r="N14" s="22" t="str">
        <x:v>COV-08</x:v>
      </x:c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15" hidden="0" customHeight="1">
      <x:c r="A18" s="2"/>
      <x:c r="B18" s="2"/>
      <x:c r="C18" s="8" t="str">
        <x:v>Response design summary</x:v>
      </x:c>
      <x:c r="D18" s="9" t="str"/>
      <x:c r="E18" s="9" t="str"/>
      <x:c r="F18" s="10" t="str"/>
      <x:c r="G18" s="2"/>
      <x:c r="H18" s="2"/>
      <x:c r="I18" s="2"/>
      <x:c r="J18" s="2"/>
      <x:c r="K18" s="2"/>
      <x:c r="L18" s="2"/>
      <x:c r="M18" s="2"/>
      <x:c r="N18" s="2"/>
    </x:row>
    <x:row r="19" ht="15" hidden="0" customHeight="1">
      <x:c r="A19" s="2"/>
      <x:c r="B19" s="2"/>
      <x:c r="C19" s="21" t="str">
        <x:v>Playbook count</x:v>
      </x:c>
      <x:c r="D19" s="2" t="n">
        <x:f>COUNTA(C7:C14)</x:f>
        <x:v>8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2"/>
      <x:c r="B20" s="2"/>
      <x:c r="C20" s="21" t="str">
        <x:v>Critical</x:v>
      </x:c>
      <x:c r="D20" s="2" t="n">
        <x:f>COUNTIF(D7:D14,"CRITICAL")</x:f>
        <x:v>3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2"/>
      <x:c r="B21" s="2"/>
      <x:c r="C21" s="21" t="str">
        <x:v>High</x:v>
      </x:c>
      <x:c r="D21" s="2" t="n">
        <x:f>COUNTIF(D7:D14,"HIGH")</x:f>
        <x:v>4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2"/>
      <x:c r="B22" s="2"/>
      <x:c r="C22" s="21" t="str">
        <x:v>Moderate</x:v>
      </x:c>
      <x:c r="D22" s="2" t="n">
        <x:f>COUNTIF(D7:D14,"MODERATE")</x:f>
        <x:v>1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2"/>
      <x:c r="B23" s="2"/>
      <x:c r="C23" s="21" t="str">
        <x:v>Current pre-funding blocker</x:v>
      </x:c>
      <x:c r="D23" s="2" t="n">
        <x:f>COUNTIF(H7:H14,"PRE-FUNDING BLOCKED")</x:f>
        <x:v>1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1" t="str">
        <x:v>Private evidence required</x:v>
      </x:c>
      <x:c r="D24" s="2" t="n">
        <x:f>COUNTIF(H7:H14,"NOT MEASURED")</x:f>
        <x:v>5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0" hidden="0" customHeight="1">
      <x:c r="A26" s="2"/>
      <x:c r="B26" s="2"/>
      <x:c r="C26" s="21" t="str">
        <x:v>Method limit</x:v>
      </x:c>
      <x:c r="D26" s="26" t="str">
        <x:v>Illustrative response design only. No incident is open, no borrower breach has been observed, and these response paths are not executed agreements or Coinbase policy.</x:v>
      </x:c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D7:D14">
    <x:cfRule type="containsText" dxfId="16" priority="1" operator="containsText" text="CRITICAL"/>
  </x:conditionalFormatting>
  <x:conditionalFormatting sqref="H7:H14">
    <x:cfRule type="containsText" dxfId="17" priority="2" operator="containsText" text="BLOCKED"/>
    <x:cfRule type="containsText" dxfId="18" priority="3" operator="containsText" text="NOT MEASURE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7F7F7F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36" hidden="0" customWidth="1"/>
    <x:col min="5" max="5" width="16" hidden="0" customWidth="1"/>
    <x:col min="6" max="6" width="64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Source register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</x:row>
    <x:row r="4" ht="15" hidden="0" customHeight="1">
      <x:c r="A4" s="2"/>
      <x:c r="B4" s="2"/>
      <x:c r="C4" s="5" t="str">
        <x:v>Primary public sources and explicit assumption records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12" t="str">
        <x:v>Source ID</x:v>
      </x:c>
      <x:c r="D6" s="13" t="str">
        <x:v>Input or claim</x:v>
      </x:c>
      <x:c r="E6" s="13" t="str">
        <x:v>Class</x:v>
      </x:c>
      <x:c r="F6" s="13" t="str">
        <x:v>URL or assumption</x:v>
      </x:c>
      <x:c r="G6" s="13" t="str">
        <x:v>Period end</x:v>
      </x:c>
      <x:c r="H6" s="13" t="str">
        <x:v>Published</x:v>
      </x:c>
      <x:c r="I6" s="13" t="str">
        <x:v>Retrieved</x:v>
      </x:c>
      <x:c r="J6" s="14" t="str">
        <x:v>Limitation</x:v>
      </x:c>
      <x:c r="K6" s="2"/>
      <x:c r="L6" s="2"/>
      <x:c r="M6" s="2"/>
      <x:c r="N6" s="2"/>
    </x:row>
    <x:row r="7" ht="60" hidden="0" customHeight="1">
      <x:c r="A7" s="2"/>
      <x:c r="B7" s="2"/>
      <x:c r="C7" s="2" t="str">
        <x:v>SRC-001</x:v>
      </x:c>
      <x:c r="D7" s="2" t="str">
        <x:v>MARA June 2026 financial and liquidity facts</x:v>
      </x:c>
      <x:c r="E7" s="2" t="str">
        <x:v>Reported</x:v>
      </x:c>
      <x:c r="F7" s="26" t="str">
        <x:v>https://www.sec.gov/Archives/edgar/data/1507605/000150760526000022/mara-20260630.htm</x:v>
      </x:c>
      <x:c r="G7" s="30" t="n">
        <x:v>46203</x:v>
      </x:c>
      <x:c r="H7" s="30" t="n">
        <x:v>46241</x:v>
      </x:c>
      <x:c r="I7" s="30" t="n">
        <x:v>46285</x:v>
      </x:c>
      <x:c r="J7" s="22" t="str">
        <x:v>Does not establish facility collateral, ownership, lien priority, or Coinbase relationship</x:v>
      </x:c>
      <x:c r="K7" s="2"/>
      <x:c r="L7" s="2"/>
      <x:c r="M7" s="2"/>
      <x:c r="N7" s="2"/>
    </x:row>
    <x:row r="8" ht="24" hidden="0" customHeight="1">
      <x:c r="A8" s="2"/>
      <x:c r="B8" s="2"/>
      <x:c r="C8" s="2" t="str">
        <x:v>SRC-002</x:v>
      </x:c>
      <x:c r="D8" s="2" t="str">
        <x:v>MARA 2025 annual financial and cash-flow facts</x:v>
      </x:c>
      <x:c r="E8" s="2" t="str">
        <x:v>Reported</x:v>
      </x:c>
      <x:c r="F8" s="26" t="str">
        <x:v>https://www.sec.gov/Archives/edgar/data/1507605/000150760526000007/mara-20251231.htm</x:v>
      </x:c>
      <x:c r="G8" s="30" t="n">
        <x:v>46022</x:v>
      </x:c>
      <x:c r="H8" s="30" t="n">
        <x:v>46083</x:v>
      </x:c>
      <x:c r="I8" s="30" t="n">
        <x:v>46285</x:v>
      </x:c>
      <x:c r="J8" s="22" t="str">
        <x:v>Annual baseline predates interim filing</x:v>
      </x:c>
      <x:c r="K8" s="2"/>
      <x:c r="L8" s="2"/>
      <x:c r="M8" s="2"/>
      <x:c r="N8" s="2"/>
    </x:row>
    <x:row r="9" ht="36" hidden="0" customHeight="1">
      <x:c r="A9" s="2"/>
      <x:c r="B9" s="2"/>
      <x:c r="C9" s="2" t="str">
        <x:v>SRC-003</x:v>
      </x:c>
      <x:c r="D9" s="2" t="str">
        <x:v>Coinbase Exchange candles endpoint behavior</x:v>
      </x:c>
      <x:c r="E9" s="2" t="str">
        <x:v>Reported</x:v>
      </x:c>
      <x:c r="F9" s="26" t="str">
        <x:v>https://docs.cdp.coinbase.com/api-reference/exchange-api/rest-api/products/get-product-candles</x:v>
      </x:c>
      <x:c r="G9" s="30" t="str"/>
      <x:c r="H9" s="30" t="n">
        <x:v>46285</x:v>
      </x:c>
      <x:c r="I9" s="30" t="n">
        <x:v>46285</x:v>
      </x:c>
      <x:c r="J9" s="22" t="str">
        <x:v>Historical intervals can be missing; not order-book history</x:v>
      </x:c>
      <x:c r="K9" s="2"/>
      <x:c r="L9" s="2"/>
      <x:c r="M9" s="2"/>
      <x:c r="N9" s="2"/>
    </x:row>
    <x:row r="10" ht="36" hidden="0" customHeight="1">
      <x:c r="A10" s="2"/>
      <x:c r="B10" s="2"/>
      <x:c r="C10" s="2" t="str">
        <x:v>SRC-004</x:v>
      </x:c>
      <x:c r="D10" s="2" t="str">
        <x:v>Coinbase Exchange product book</x:v>
      </x:c>
      <x:c r="E10" s="2" t="str">
        <x:v>Reported</x:v>
      </x:c>
      <x:c r="F10" s="26" t="str">
        <x:v>https://docs.cdp.coinbase.com/api-reference/exchange-api/rest-api/products/get-product-book</x:v>
      </x:c>
      <x:c r="G10" s="30" t="str"/>
      <x:c r="H10" s="30" t="n">
        <x:v>46285</x:v>
      </x:c>
      <x:c r="I10" s="30" t="n">
        <x:v>46285</x:v>
      </x:c>
      <x:c r="J10" s="22" t="str">
        <x:v>Point-in-time displayed depth does not prove execution</x:v>
      </x:c>
      <x:c r="K10" s="2"/>
      <x:c r="L10" s="2"/>
      <x:c r="M10" s="2"/>
      <x:c r="N10" s="2"/>
    </x:row>
    <x:row r="11" ht="48" hidden="0" customHeight="1">
      <x:c r="A11" s="2"/>
      <x:c r="B11" s="2"/>
      <x:c r="C11" s="2" t="str">
        <x:v>SRC-005</x:v>
      </x:c>
      <x:c r="D11" s="2" t="str">
        <x:v>Base finality and derivation</x:v>
      </x:c>
      <x:c r="E11" s="2" t="str">
        <x:v>Reported</x:v>
      </x:c>
      <x:c r="F11" s="26" t="str">
        <x:v>https://docs.base.org/base-chain/specs/protocol/consensus/derivation</x:v>
      </x:c>
      <x:c r="G11" s="30" t="str"/>
      <x:c r="H11" s="30" t="n">
        <x:v>46285</x:v>
      </x:c>
      <x:c r="I11" s="30" t="n">
        <x:v>46285</x:v>
      </x:c>
      <x:c r="J11" s="22" t="str">
        <x:v>Does not establish custody, control, withdrawal, or off-ramp timing</x:v>
      </x:c>
      <x:c r="K11" s="2"/>
      <x:c r="L11" s="2"/>
      <x:c r="M11" s="2"/>
      <x:c r="N11" s="2"/>
    </x:row>
    <x:row r="12" ht="24" hidden="0" customHeight="1">
      <x:c r="A12" s="2"/>
      <x:c r="B12" s="2"/>
      <x:c r="C12" s="2" t="str">
        <x:v>ASM-001</x:v>
      </x:c>
      <x:c r="D12" s="2" t="str">
        <x:v>Facility amount and terms</x:v>
      </x:c>
      <x:c r="E12" s="2" t="str">
        <x:v>Assumed</x:v>
      </x:c>
      <x:c r="F12" s="26" t="str">
        <x:v>Fictional case</x:v>
      </x:c>
      <x:c r="G12" s="30" t="str"/>
      <x:c r="H12" s="30" t="n">
        <x:v>46285</x:v>
      </x:c>
      <x:c r="I12" s="30" t="n">
        <x:v>46285</x:v>
      </x:c>
      <x:c r="J12" s="22" t="str">
        <x:v>Not MARA or Coinbase terms</x:v>
      </x:c>
      <x:c r="K12" s="2"/>
      <x:c r="L12" s="2"/>
      <x:c r="M12" s="2"/>
      <x:c r="N12" s="2"/>
    </x:row>
    <x:row r="13" ht="36" hidden="0" customHeight="1">
      <x:c r="A13" s="2"/>
      <x:c r="B13" s="2"/>
      <x:c r="C13" s="2" t="str">
        <x:v>ASM-002</x:v>
      </x:c>
      <x:c r="D13" s="2" t="str">
        <x:v>Collateral and availability</x:v>
      </x:c>
      <x:c r="E13" s="2" t="str">
        <x:v>Simulated</x:v>
      </x:c>
      <x:c r="F13" s="26" t="str">
        <x:v>Fictional case</x:v>
      </x:c>
      <x:c r="G13" s="30" t="str"/>
      <x:c r="H13" s="30" t="n">
        <x:v>46285</x:v>
      </x:c>
      <x:c r="I13" s="30" t="n">
        <x:v>46285</x:v>
      </x:c>
      <x:c r="J13" s="22" t="str">
        <x:v>Cannot establish ownership or enforceability</x:v>
      </x:c>
      <x:c r="K13" s="2"/>
      <x:c r="L13" s="2"/>
      <x:c r="M13" s="2"/>
      <x:c r="N13" s="2"/>
    </x:row>
    <x:row r="14" ht="15" hidden="0" customHeight="1">
      <x:c r="A14" s="2"/>
      <x:c r="B14" s="2"/>
      <x:c r="C14" s="2" t="str">
        <x:v>ASM-003</x:v>
      </x:c>
      <x:c r="D14" s="2" t="str">
        <x:v>Portfolio exposures and limits</x:v>
      </x:c>
      <x:c r="E14" s="2" t="str">
        <x:v>Simulated</x:v>
      </x:c>
      <x:c r="F14" s="26" t="str">
        <x:v>Fictional policy</x:v>
      </x:c>
      <x:c r="G14" s="30" t="str"/>
      <x:c r="H14" s="30" t="n">
        <x:v>46285</x:v>
      </x:c>
      <x:c r="I14" s="30" t="n">
        <x:v>46285</x:v>
      </x:c>
      <x:c r="J14" s="22" t="str">
        <x:v>Not Coinbase policy</x:v>
      </x:c>
      <x:c r="K14" s="2"/>
      <x:c r="L14" s="2"/>
      <x:c r="M14" s="2"/>
      <x:c r="N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15" hidden="0" customHeight="1">
      <x:c r="A17" s="2"/>
      <x:c r="B17" s="2"/>
      <x:c r="C17" s="7" t="str">
        <x:v>Model limitation</x:v>
      </x:c>
      <x:c r="D17" s="7" t="str">
        <x:v>Treatment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hidden="0" customHeight="1">
      <x:c r="A18" s="2"/>
      <x:c r="B18" s="2"/>
      <x:c r="C18" s="2" t="str">
        <x:v>No verified collateral ownership</x:v>
      </x:c>
      <x:c r="D18" s="22" t="str">
        <x:v>Hard blocker; eligible proceeds are zero</x:v>
      </x:c>
      <x:c r="E18" s="22"/>
      <x:c r="F18" s="22"/>
      <x:c r="G18" s="22"/>
      <x:c r="H18" s="22"/>
      <x:c r="I18" s="22"/>
      <x:c r="J18" s="22"/>
      <x:c r="K18" s="2"/>
      <x:c r="L18" s="2"/>
      <x:c r="M18" s="2"/>
      <x:c r="N18" s="2"/>
    </x:row>
    <x:row r="19" ht="24" hidden="0" customHeight="1">
      <x:c r="A19" s="2"/>
      <x:c r="B19" s="2"/>
      <x:c r="C19" s="2" t="str">
        <x:v>No legal opinion or lien search</x:v>
      </x:c>
      <x:c r="D19" s="22" t="str">
        <x:v>Hard blocker; no arbitrary enforceability haircut</x:v>
      </x:c>
      <x:c r="E19" s="22"/>
      <x:c r="F19" s="22"/>
      <x:c r="G19" s="22"/>
      <x:c r="H19" s="22"/>
      <x:c r="I19" s="22"/>
      <x:c r="J19" s="22"/>
      <x:c r="K19" s="2"/>
      <x:c r="L19" s="2"/>
      <x:c r="M19" s="2"/>
      <x:c r="N19" s="2"/>
    </x:row>
    <x:row r="20" ht="24" hidden="0" customHeight="1">
      <x:c r="A20" s="2"/>
      <x:c r="B20" s="2"/>
      <x:c r="C20" s="2" t="str">
        <x:v>No executable market-depth history</x:v>
      </x:c>
      <x:c r="D20" s="22" t="str">
        <x:v>Execution and delay costs remain labeled assumptions</x:v>
      </x:c>
      <x:c r="E20" s="22"/>
      <x:c r="F20" s="22"/>
      <x:c r="G20" s="22"/>
      <x:c r="H20" s="22"/>
      <x:c r="I20" s="22"/>
      <x:c r="J20" s="22"/>
      <x:c r="K20" s="2"/>
      <x:c r="L20" s="2"/>
      <x:c r="M20" s="2"/>
      <x:c r="N20" s="2"/>
    </x:row>
    <x:row r="21" ht="24" hidden="0" customHeight="1">
      <x:c r="A21" s="2"/>
      <x:c r="B21" s="2"/>
      <x:c r="C21" s="2" t="str">
        <x:v>No private borrower forecast</x:v>
      </x:c>
      <x:c r="D21" s="22" t="str">
        <x:v>Obligor cap is illustrative, not a calibrated rating or PD</x:v>
      </x:c>
      <x:c r="E21" s="22"/>
      <x:c r="F21" s="22"/>
      <x:c r="G21" s="22"/>
      <x:c r="H21" s="22"/>
      <x:c r="I21" s="22"/>
      <x:c r="J21" s="22"/>
      <x:c r="K21" s="2"/>
      <x:c r="L21" s="2"/>
      <x:c r="M21" s="2"/>
      <x:c r="N21" s="2"/>
    </x:row>
    <x:row r="22" ht="24" hidden="0" customHeight="1">
      <x:c r="A22" s="2"/>
      <x:c r="B22" s="2"/>
      <x:c r="C22" s="2" t="str">
        <x:v>No Coinbase policy or confidential portfolio</x:v>
      </x:c>
      <x:c r="D22" s="22" t="str">
        <x:v>Limits and exposures are fictional</x:v>
      </x:c>
      <x:c r="E22" s="22"/>
      <x:c r="F22" s="22"/>
      <x:c r="G22" s="22"/>
      <x:c r="H22" s="22"/>
      <x:c r="I22" s="22"/>
      <x:c r="J22" s="22"/>
      <x:c r="K22" s="2"/>
      <x:c r="L22" s="2"/>
      <x:c r="M22" s="2"/>
      <x:c r="N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pageMargins left="0.7" right="0.7" top="0.75" bottom="0.75" header="0.3" footer="0.3"/>
</x:worksheet>
</file>